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E36AEDAB-3BDC-4A61-9418-BC01A3F33E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多项式函数" sheetId="3" r:id="rId1"/>
    <sheet name="Sheet1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D2" i="3"/>
  <c r="M3" i="3"/>
  <c r="E9" i="3"/>
  <c r="F9" i="3"/>
  <c r="G9" i="3"/>
  <c r="H9" i="3"/>
  <c r="I9" i="3"/>
  <c r="J9" i="3"/>
  <c r="K9" i="3"/>
  <c r="L9" i="3"/>
  <c r="E3" i="3"/>
  <c r="F3" i="3"/>
  <c r="G3" i="3"/>
  <c r="H3" i="3"/>
  <c r="I3" i="3"/>
  <c r="J3" i="3"/>
  <c r="K3" i="3"/>
  <c r="L3" i="3"/>
  <c r="D3" i="3"/>
  <c r="E4" i="3"/>
  <c r="F4" i="3"/>
  <c r="G4" i="3"/>
  <c r="H4" i="3"/>
  <c r="I4" i="3"/>
  <c r="J4" i="3"/>
  <c r="K4" i="3"/>
  <c r="L4" i="3"/>
  <c r="E5" i="3"/>
  <c r="F5" i="3"/>
  <c r="G5" i="3"/>
  <c r="H5" i="3"/>
  <c r="I5" i="3"/>
  <c r="J5" i="3"/>
  <c r="K5" i="3"/>
  <c r="L5" i="3"/>
  <c r="E6" i="3"/>
  <c r="F6" i="3"/>
  <c r="G6" i="3"/>
  <c r="H6" i="3"/>
  <c r="I6" i="3"/>
  <c r="J6" i="3"/>
  <c r="K6" i="3"/>
  <c r="L6" i="3"/>
  <c r="E7" i="3"/>
  <c r="F7" i="3"/>
  <c r="G7" i="3"/>
  <c r="H7" i="3"/>
  <c r="I7" i="3"/>
  <c r="J7" i="3"/>
  <c r="K7" i="3"/>
  <c r="L7" i="3"/>
  <c r="E8" i="3"/>
  <c r="F8" i="3"/>
  <c r="G8" i="3"/>
  <c r="H8" i="3"/>
  <c r="I8" i="3"/>
  <c r="J8" i="3"/>
  <c r="K8" i="3"/>
  <c r="L8" i="3"/>
  <c r="D4" i="3"/>
  <c r="D5" i="3"/>
  <c r="D6" i="3"/>
  <c r="D7" i="3"/>
  <c r="D8" i="3"/>
  <c r="D9" i="3"/>
  <c r="E10" i="3"/>
  <c r="F10" i="3"/>
  <c r="G10" i="3"/>
  <c r="H10" i="3"/>
  <c r="I10" i="3"/>
  <c r="J10" i="3"/>
  <c r="K10" i="3"/>
  <c r="L10" i="3"/>
  <c r="M10" i="3"/>
  <c r="D10" i="3"/>
  <c r="E11" i="3"/>
  <c r="F11" i="3"/>
  <c r="G11" i="3"/>
  <c r="H11" i="3"/>
  <c r="I11" i="3"/>
  <c r="J11" i="3"/>
  <c r="K11" i="3"/>
  <c r="L11" i="3"/>
  <c r="M11" i="3"/>
  <c r="D11" i="3"/>
  <c r="M4" i="3" l="1"/>
  <c r="M5" i="3"/>
  <c r="M6" i="3"/>
  <c r="M7" i="3"/>
  <c r="M8" i="3"/>
  <c r="M9" i="3"/>
</calcChain>
</file>

<file path=xl/sharedStrings.xml><?xml version="1.0" encoding="utf-8"?>
<sst xmlns="http://schemas.openxmlformats.org/spreadsheetml/2006/main" count="21" uniqueCount="12">
  <si>
    <t>x</t>
    <phoneticPr fontId="1" type="noConversion"/>
  </si>
  <si>
    <t>y</t>
    <phoneticPr fontId="1" type="noConversion"/>
  </si>
  <si>
    <t>y=x^2</t>
    <phoneticPr fontId="1" type="noConversion"/>
  </si>
  <si>
    <t>y=x^5</t>
  </si>
  <si>
    <t>y=x^1</t>
    <phoneticPr fontId="1" type="noConversion"/>
  </si>
  <si>
    <t>y=x^8</t>
  </si>
  <si>
    <t>y=x^7</t>
  </si>
  <si>
    <t>y=x^6</t>
  </si>
  <si>
    <t>y=x^3</t>
    <phoneticPr fontId="1" type="noConversion"/>
  </si>
  <si>
    <t>y=x^4</t>
    <phoneticPr fontId="1" type="noConversion"/>
  </si>
  <si>
    <t>y=x+x^2+x^3+x^4+x^5+x^6+x^7+x^8</t>
    <phoneticPr fontId="1" type="noConversion"/>
  </si>
  <si>
    <t>y=x/(1-x)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</si>
</sst>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6" xfId="0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1" xfId="0" applyFont="1" applyBorder="1" applyAlignment="1">
      <alignment horizontal="right"/>
    </xf>
    <xf numFmtId="0" fontId="2" fillId="0" borderId="5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2"/>
  <sheetViews>
    <sheetView tabSelected="1" zoomScale="115" zoomScaleNormal="115" workbookViewId="0">
      <selection activeCell="H15" sqref="H15"/>
    </sheetView>
  </sheetViews>
  <sheetFormatPr defaultColWidth="8.81640625" defaultRowHeight="14" x14ac:dyDescent="0.25"/>
  <cols>
    <col min="1" max="1" width="2.453125" customWidth="1"/>
    <col min="2" max="2" width="9.81640625" customWidth="1"/>
    <col min="3" max="3" width="2.81640625" customWidth="1"/>
    <col min="4" max="12" width="11.6328125" customWidth="1"/>
    <col min="13" max="13" width="9.7265625" customWidth="1"/>
    <col min="14" max="14" width="5.81640625" customWidth="1"/>
  </cols>
  <sheetData>
    <row r="2" spans="2:13" x14ac:dyDescent="0.25">
      <c r="B2" t="s">
        <v>11</v>
      </c>
      <c r="C2" s="5" t="s">
        <v>1</v>
      </c>
      <c r="D2">
        <f>D12/(1-D12)</f>
        <v>0.11111111111111112</v>
      </c>
      <c r="E2">
        <f t="shared" ref="E2:M2" si="0">E12/(1-E12)</f>
        <v>0.25</v>
      </c>
      <c r="F2">
        <f t="shared" si="0"/>
        <v>0.4285714285714286</v>
      </c>
      <c r="G2">
        <f t="shared" si="0"/>
        <v>0.66666666666666674</v>
      </c>
      <c r="H2">
        <f t="shared" si="0"/>
        <v>1</v>
      </c>
      <c r="I2">
        <f t="shared" si="0"/>
        <v>1.4999999999999998</v>
      </c>
      <c r="J2">
        <f t="shared" si="0"/>
        <v>2.333333333333333</v>
      </c>
      <c r="K2">
        <f t="shared" si="0"/>
        <v>4.0000000000000009</v>
      </c>
      <c r="L2">
        <f t="shared" si="0"/>
        <v>9.0000000000000018</v>
      </c>
      <c r="M2" t="e">
        <f t="shared" si="0"/>
        <v>#DIV/0!</v>
      </c>
    </row>
    <row r="3" spans="2:13" x14ac:dyDescent="0.25">
      <c r="B3" t="s">
        <v>10</v>
      </c>
      <c r="C3" s="5" t="s">
        <v>1</v>
      </c>
      <c r="D3">
        <f>D12+D12^2+D12^3+D12^4+D12^5+D12^6+D12^7+D12^8</f>
        <v>0.11111111000000001</v>
      </c>
      <c r="E3">
        <f t="shared" ref="E3:M3" si="1">E12+E12^2+E12^3+E12^4+E12^5+E12^6+E12^7+E12^8</f>
        <v>0.24999936000000003</v>
      </c>
      <c r="F3">
        <f t="shared" si="1"/>
        <v>0.42854331000000001</v>
      </c>
      <c r="G3">
        <f t="shared" si="1"/>
        <v>0.66622976000000023</v>
      </c>
      <c r="H3">
        <f t="shared" si="1"/>
        <v>0.99609375</v>
      </c>
      <c r="I3">
        <f t="shared" si="1"/>
        <v>1.47480576</v>
      </c>
      <c r="J3">
        <f t="shared" si="1"/>
        <v>2.1988213099999996</v>
      </c>
      <c r="K3">
        <f t="shared" si="1"/>
        <v>3.3289113600000015</v>
      </c>
      <c r="L3">
        <f t="shared" si="1"/>
        <v>5.1257951100000003</v>
      </c>
      <c r="M3">
        <f t="shared" si="1"/>
        <v>8</v>
      </c>
    </row>
    <row r="4" spans="2:13" x14ac:dyDescent="0.25">
      <c r="B4" t="s">
        <v>5</v>
      </c>
      <c r="C4" s="5" t="s">
        <v>1</v>
      </c>
      <c r="D4" s="1">
        <f>D12^8</f>
        <v>1.0000000000000008E-8</v>
      </c>
      <c r="E4" s="1">
        <f t="shared" ref="E4:L4" si="2">E12^8</f>
        <v>2.5600000000000022E-6</v>
      </c>
      <c r="F4" s="1">
        <f t="shared" si="2"/>
        <v>6.560999999999999E-5</v>
      </c>
      <c r="G4" s="1">
        <f t="shared" si="2"/>
        <v>6.5536000000000056E-4</v>
      </c>
      <c r="H4" s="1">
        <f t="shared" si="2"/>
        <v>3.90625E-3</v>
      </c>
      <c r="I4" s="1">
        <f t="shared" si="2"/>
        <v>1.6796159999999997E-2</v>
      </c>
      <c r="J4" s="1">
        <f t="shared" si="2"/>
        <v>5.7648009999999965E-2</v>
      </c>
      <c r="K4" s="1">
        <f t="shared" si="2"/>
        <v>0.16777216000000014</v>
      </c>
      <c r="L4" s="1">
        <f t="shared" si="2"/>
        <v>0.43046721000000016</v>
      </c>
      <c r="M4" s="1">
        <f t="shared" ref="M4" si="3">4*M12+2</f>
        <v>6</v>
      </c>
    </row>
    <row r="5" spans="2:13" x14ac:dyDescent="0.25">
      <c r="B5" t="s">
        <v>6</v>
      </c>
      <c r="C5" s="5" t="s">
        <v>1</v>
      </c>
      <c r="D5" s="1">
        <f>D12^7</f>
        <v>1.0000000000000007E-7</v>
      </c>
      <c r="E5" s="1">
        <f t="shared" ref="E5:L5" si="4">E12^7</f>
        <v>1.280000000000001E-5</v>
      </c>
      <c r="F5" s="1">
        <f t="shared" si="4"/>
        <v>2.1869999999999998E-4</v>
      </c>
      <c r="G5" s="1">
        <f t="shared" si="4"/>
        <v>1.6384000000000012E-3</v>
      </c>
      <c r="H5" s="1">
        <f t="shared" si="4"/>
        <v>7.8125E-3</v>
      </c>
      <c r="I5" s="1">
        <f t="shared" si="4"/>
        <v>2.7993599999999997E-2</v>
      </c>
      <c r="J5" s="1">
        <f t="shared" si="4"/>
        <v>8.235429999999995E-2</v>
      </c>
      <c r="K5" s="1">
        <f t="shared" si="4"/>
        <v>0.20971520000000016</v>
      </c>
      <c r="L5" s="1">
        <f t="shared" si="4"/>
        <v>0.47829690000000014</v>
      </c>
      <c r="M5" s="1">
        <f t="shared" ref="M5" si="5">3*M12+2</f>
        <v>5</v>
      </c>
    </row>
    <row r="6" spans="2:13" x14ac:dyDescent="0.25">
      <c r="B6" t="s">
        <v>7</v>
      </c>
      <c r="C6" s="5" t="s">
        <v>1</v>
      </c>
      <c r="D6" s="1">
        <f>D12^6</f>
        <v>1.0000000000000006E-6</v>
      </c>
      <c r="E6" s="1">
        <f t="shared" ref="E6:L6" si="6">E12^6</f>
        <v>6.4000000000000038E-5</v>
      </c>
      <c r="F6" s="1">
        <f t="shared" si="6"/>
        <v>7.2899999999999994E-4</v>
      </c>
      <c r="G6" s="1">
        <f t="shared" si="6"/>
        <v>4.0960000000000024E-3</v>
      </c>
      <c r="H6" s="1">
        <f t="shared" si="6"/>
        <v>1.5625E-2</v>
      </c>
      <c r="I6" s="1">
        <f t="shared" si="6"/>
        <v>4.6655999999999996E-2</v>
      </c>
      <c r="J6" s="1">
        <f t="shared" si="6"/>
        <v>0.11764899999999995</v>
      </c>
      <c r="K6" s="1">
        <f t="shared" si="6"/>
        <v>0.26214400000000015</v>
      </c>
      <c r="L6" s="1">
        <f t="shared" si="6"/>
        <v>0.53144100000000016</v>
      </c>
      <c r="M6" s="1">
        <f t="shared" ref="M6" si="7">2*M12+2</f>
        <v>4</v>
      </c>
    </row>
    <row r="7" spans="2:13" x14ac:dyDescent="0.25">
      <c r="B7" t="s">
        <v>3</v>
      </c>
      <c r="C7" s="5" t="s">
        <v>1</v>
      </c>
      <c r="D7" s="1">
        <f>D12^5</f>
        <v>1.0000000000000006E-5</v>
      </c>
      <c r="E7" s="1">
        <f t="shared" ref="E7:L7" si="8">E12^5</f>
        <v>3.2000000000000019E-4</v>
      </c>
      <c r="F7" s="1">
        <f t="shared" si="8"/>
        <v>2.4299999999999999E-3</v>
      </c>
      <c r="G7" s="1">
        <f t="shared" si="8"/>
        <v>1.0240000000000006E-2</v>
      </c>
      <c r="H7" s="1">
        <f t="shared" si="8"/>
        <v>3.125E-2</v>
      </c>
      <c r="I7" s="1">
        <f t="shared" si="8"/>
        <v>7.7759999999999996E-2</v>
      </c>
      <c r="J7" s="1">
        <f t="shared" si="8"/>
        <v>0.16806999999999994</v>
      </c>
      <c r="K7" s="1">
        <f t="shared" si="8"/>
        <v>0.32768000000000019</v>
      </c>
      <c r="L7" s="1">
        <f t="shared" si="8"/>
        <v>0.59049000000000018</v>
      </c>
      <c r="M7" s="1">
        <f t="shared" ref="M7" si="9">M12+2</f>
        <v>3</v>
      </c>
    </row>
    <row r="8" spans="2:13" x14ac:dyDescent="0.25">
      <c r="B8" t="s">
        <v>9</v>
      </c>
      <c r="C8" s="5" t="s">
        <v>1</v>
      </c>
      <c r="D8" s="1">
        <f>D12^4</f>
        <v>1.0000000000000005E-4</v>
      </c>
      <c r="E8" s="1">
        <f t="shared" ref="E8:L8" si="10">E12^4</f>
        <v>1.6000000000000007E-3</v>
      </c>
      <c r="F8" s="1">
        <f t="shared" si="10"/>
        <v>8.0999999999999996E-3</v>
      </c>
      <c r="G8" s="1">
        <f t="shared" si="10"/>
        <v>2.5600000000000012E-2</v>
      </c>
      <c r="H8" s="1">
        <f t="shared" si="10"/>
        <v>6.25E-2</v>
      </c>
      <c r="I8" s="1">
        <f t="shared" si="10"/>
        <v>0.12959999999999999</v>
      </c>
      <c r="J8" s="1">
        <f t="shared" si="10"/>
        <v>0.24009999999999992</v>
      </c>
      <c r="K8" s="1">
        <f t="shared" si="10"/>
        <v>0.40960000000000019</v>
      </c>
      <c r="L8" s="1">
        <f t="shared" si="10"/>
        <v>0.65610000000000013</v>
      </c>
      <c r="M8" s="1">
        <f t="shared" ref="M8" si="11">0*M12+2</f>
        <v>2</v>
      </c>
    </row>
    <row r="9" spans="2:13" x14ac:dyDescent="0.25">
      <c r="B9" t="s">
        <v>8</v>
      </c>
      <c r="C9" s="5" t="s">
        <v>1</v>
      </c>
      <c r="D9" s="1">
        <f>D12^3</f>
        <v>1.0000000000000002E-3</v>
      </c>
      <c r="E9" s="1">
        <f t="shared" ref="E9:L9" si="12">E12^3</f>
        <v>8.0000000000000019E-3</v>
      </c>
      <c r="F9" s="1">
        <f t="shared" si="12"/>
        <v>2.7E-2</v>
      </c>
      <c r="G9" s="1">
        <f t="shared" si="12"/>
        <v>6.4000000000000015E-2</v>
      </c>
      <c r="H9" s="1">
        <f t="shared" si="12"/>
        <v>0.125</v>
      </c>
      <c r="I9" s="1">
        <f t="shared" si="12"/>
        <v>0.216</v>
      </c>
      <c r="J9" s="1">
        <f t="shared" si="12"/>
        <v>0.34299999999999992</v>
      </c>
      <c r="K9" s="1">
        <f t="shared" si="12"/>
        <v>0.51200000000000012</v>
      </c>
      <c r="L9" s="1">
        <f t="shared" si="12"/>
        <v>0.72900000000000009</v>
      </c>
      <c r="M9" s="1">
        <f t="shared" ref="M9" si="13">-M12+2</f>
        <v>1</v>
      </c>
    </row>
    <row r="10" spans="2:13" x14ac:dyDescent="0.25">
      <c r="B10" t="s">
        <v>2</v>
      </c>
      <c r="C10" s="5" t="s">
        <v>1</v>
      </c>
      <c r="D10" s="1">
        <f>D12^2</f>
        <v>1.0000000000000002E-2</v>
      </c>
      <c r="E10" s="1">
        <f t="shared" ref="E10:M10" si="14">E12^2</f>
        <v>4.0000000000000008E-2</v>
      </c>
      <c r="F10" s="1">
        <f t="shared" si="14"/>
        <v>0.09</v>
      </c>
      <c r="G10" s="1">
        <f t="shared" si="14"/>
        <v>0.16000000000000003</v>
      </c>
      <c r="H10" s="1">
        <f t="shared" si="14"/>
        <v>0.25</v>
      </c>
      <c r="I10" s="1">
        <f t="shared" si="14"/>
        <v>0.36</v>
      </c>
      <c r="J10" s="1">
        <f t="shared" si="14"/>
        <v>0.48999999999999994</v>
      </c>
      <c r="K10" s="1">
        <f t="shared" si="14"/>
        <v>0.64000000000000012</v>
      </c>
      <c r="L10" s="1">
        <f t="shared" si="14"/>
        <v>0.81</v>
      </c>
      <c r="M10" s="1">
        <f t="shared" si="14"/>
        <v>1</v>
      </c>
    </row>
    <row r="11" spans="2:13" x14ac:dyDescent="0.25">
      <c r="B11" t="s">
        <v>4</v>
      </c>
      <c r="C11" s="6" t="s">
        <v>1</v>
      </c>
      <c r="D11" s="2">
        <f>D12^1</f>
        <v>0.1</v>
      </c>
      <c r="E11" s="2">
        <f t="shared" ref="E11:M11" si="15">E12^1</f>
        <v>0.2</v>
      </c>
      <c r="F11" s="2">
        <f t="shared" si="15"/>
        <v>0.3</v>
      </c>
      <c r="G11" s="2">
        <f t="shared" si="15"/>
        <v>0.4</v>
      </c>
      <c r="H11" s="2">
        <f t="shared" si="15"/>
        <v>0.5</v>
      </c>
      <c r="I11" s="2">
        <f t="shared" si="15"/>
        <v>0.6</v>
      </c>
      <c r="J11" s="2">
        <f t="shared" si="15"/>
        <v>0.7</v>
      </c>
      <c r="K11" s="2">
        <f t="shared" si="15"/>
        <v>0.8</v>
      </c>
      <c r="L11" s="2">
        <f t="shared" si="15"/>
        <v>0.9</v>
      </c>
      <c r="M11" s="2">
        <f t="shared" si="15"/>
        <v>1</v>
      </c>
    </row>
    <row r="12" spans="2:13" x14ac:dyDescent="0.25">
      <c r="C12" s="3" t="s">
        <v>0</v>
      </c>
      <c r="D12" s="4">
        <v>0.1</v>
      </c>
      <c r="E12" s="4">
        <v>0.2</v>
      </c>
      <c r="F12" s="4">
        <v>0.3</v>
      </c>
      <c r="G12" s="4">
        <v>0.4</v>
      </c>
      <c r="H12" s="4">
        <v>0.5</v>
      </c>
      <c r="I12" s="4">
        <v>0.6</v>
      </c>
      <c r="J12" s="4">
        <v>0.7</v>
      </c>
      <c r="K12" s="4">
        <v>0.8</v>
      </c>
      <c r="L12" s="4">
        <v>0.9</v>
      </c>
      <c r="M12" s="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7F65-E65D-4E94-8DA2-17EBA35A3ABD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多项式函数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2025-12-11T08:34:52Z</dcterms:modified>
</cp:coreProperties>
</file>