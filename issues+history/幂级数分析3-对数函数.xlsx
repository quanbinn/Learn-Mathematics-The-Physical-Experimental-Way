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61A2D752-BED8-4A36-9B9A-30CFA4BF1A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n(1+x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H21" i="3"/>
  <c r="F21" i="3" s="1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D4" i="3"/>
  <c r="Z4" i="3"/>
  <c r="X4" i="3"/>
  <c r="V4" i="3"/>
  <c r="T4" i="3"/>
  <c r="R4" i="3"/>
  <c r="P4" i="3"/>
  <c r="N4" i="3"/>
  <c r="L4" i="3"/>
  <c r="J4" i="3"/>
  <c r="H4" i="3"/>
  <c r="H3" i="3"/>
  <c r="C3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F13" i="3"/>
  <c r="D13" i="3" s="1"/>
  <c r="E13" i="3" s="1"/>
  <c r="G13" i="3"/>
  <c r="G12" i="3"/>
  <c r="G11" i="3"/>
  <c r="G10" i="3"/>
  <c r="G9" i="3"/>
  <c r="G8" i="3"/>
  <c r="G7" i="3"/>
  <c r="G6" i="3"/>
  <c r="G5" i="3"/>
  <c r="Y4" i="3"/>
  <c r="W4" i="3"/>
  <c r="U4" i="3"/>
  <c r="S4" i="3"/>
  <c r="Q4" i="3"/>
  <c r="O4" i="3"/>
  <c r="M4" i="3"/>
  <c r="K4" i="3"/>
  <c r="I4" i="3"/>
  <c r="G4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G3" i="3"/>
  <c r="F14" i="3" l="1"/>
  <c r="F27" i="3"/>
  <c r="F12" i="3"/>
  <c r="F28" i="3"/>
  <c r="D28" i="3" s="1"/>
  <c r="E28" i="3" s="1"/>
  <c r="D21" i="3"/>
  <c r="E21" i="3" s="1"/>
  <c r="F20" i="3"/>
  <c r="F6" i="3"/>
  <c r="F7" i="3"/>
  <c r="F30" i="3"/>
  <c r="D30" i="3" s="1"/>
  <c r="E30" i="3" s="1"/>
  <c r="F29" i="3"/>
  <c r="F16" i="3"/>
  <c r="D16" i="3" s="1"/>
  <c r="E16" i="3" s="1"/>
  <c r="D7" i="3"/>
  <c r="E7" i="3" s="1"/>
  <c r="F26" i="3"/>
  <c r="D26" i="3" s="1"/>
  <c r="E26" i="3" s="1"/>
  <c r="F17" i="3"/>
  <c r="D17" i="3" s="1"/>
  <c r="E17" i="3" s="1"/>
  <c r="F24" i="3"/>
  <c r="D24" i="3" s="1"/>
  <c r="E24" i="3" s="1"/>
  <c r="F5" i="3"/>
  <c r="D5" i="3" s="1"/>
  <c r="E5" i="3" s="1"/>
  <c r="D27" i="3"/>
  <c r="E27" i="3" s="1"/>
  <c r="D6" i="3"/>
  <c r="E6" i="3" s="1"/>
  <c r="F32" i="3"/>
  <c r="D32" i="3" s="1"/>
  <c r="E32" i="3" s="1"/>
  <c r="D29" i="3"/>
  <c r="E29" i="3" s="1"/>
  <c r="D20" i="3"/>
  <c r="E20" i="3" s="1"/>
  <c r="F11" i="3"/>
  <c r="D11" i="3" s="1"/>
  <c r="E11" i="3" s="1"/>
  <c r="F15" i="3"/>
  <c r="D15" i="3" s="1"/>
  <c r="E15" i="3" s="1"/>
  <c r="F23" i="3"/>
  <c r="D23" i="3" s="1"/>
  <c r="E23" i="3" s="1"/>
  <c r="F22" i="3"/>
  <c r="D22" i="3" s="1"/>
  <c r="E22" i="3" s="1"/>
  <c r="F19" i="3"/>
  <c r="D19" i="3" s="1"/>
  <c r="E19" i="3" s="1"/>
  <c r="F4" i="3"/>
  <c r="E4" i="3" s="1"/>
  <c r="D14" i="3"/>
  <c r="E14" i="3" s="1"/>
  <c r="F31" i="3"/>
  <c r="D31" i="3" s="1"/>
  <c r="E31" i="3" s="1"/>
  <c r="F25" i="3"/>
  <c r="D25" i="3" s="1"/>
  <c r="E25" i="3" s="1"/>
  <c r="F10" i="3"/>
  <c r="D10" i="3" s="1"/>
  <c r="E10" i="3" s="1"/>
  <c r="F3" i="3"/>
  <c r="D3" i="3" s="1"/>
  <c r="E3" i="3" s="1"/>
  <c r="F18" i="3"/>
  <c r="F9" i="3"/>
  <c r="D9" i="3" s="1"/>
  <c r="E9" i="3" s="1"/>
  <c r="F8" i="3"/>
  <c r="D8" i="3" s="1"/>
  <c r="E8" i="3" s="1"/>
  <c r="F33" i="3"/>
  <c r="D33" i="3" s="1"/>
  <c r="E33" i="3" s="1"/>
  <c r="D12" i="3"/>
  <c r="E12" i="3" s="1"/>
  <c r="D18" i="3"/>
  <c r="E18" i="3" s="1"/>
</calcChain>
</file>

<file path=xl/sharedStrings.xml><?xml version="1.0" encoding="utf-8"?>
<sst xmlns="http://schemas.openxmlformats.org/spreadsheetml/2006/main" count="25" uniqueCount="24">
  <si>
    <t>x</t>
    <phoneticPr fontId="1" type="noConversion"/>
  </si>
  <si>
    <t>Sum</t>
    <phoneticPr fontId="1" type="noConversion"/>
  </si>
  <si>
    <t>Difference</t>
    <phoneticPr fontId="1" type="noConversion"/>
  </si>
  <si>
    <t>Ratio</t>
    <phoneticPr fontId="1" type="noConversion"/>
  </si>
  <si>
    <t>x^3/3!</t>
    <phoneticPr fontId="1" type="noConversion"/>
  </si>
  <si>
    <t>x^5/5!</t>
    <phoneticPr fontId="1" type="noConversion"/>
  </si>
  <si>
    <t>x^7/7!</t>
    <phoneticPr fontId="1" type="noConversion"/>
  </si>
  <si>
    <t>x^9/9!</t>
    <phoneticPr fontId="1" type="noConversion"/>
  </si>
  <si>
    <t>x^11/11!</t>
    <phoneticPr fontId="1" type="noConversion"/>
  </si>
  <si>
    <t>x^13/13!</t>
    <phoneticPr fontId="1" type="noConversion"/>
  </si>
  <si>
    <t>x^15/15!</t>
    <phoneticPr fontId="1" type="noConversion"/>
  </si>
  <si>
    <t>x^17/17!</t>
    <phoneticPr fontId="1" type="noConversion"/>
  </si>
  <si>
    <t>x^19/19!</t>
    <phoneticPr fontId="1" type="noConversion"/>
  </si>
  <si>
    <t>ln(1+x)</t>
    <phoneticPr fontId="1" type="noConversion"/>
  </si>
  <si>
    <t>(-1)x^2/2!</t>
    <phoneticPr fontId="1" type="noConversion"/>
  </si>
  <si>
    <t>(-1)x^4/4!</t>
    <phoneticPr fontId="1" type="noConversion"/>
  </si>
  <si>
    <t>(-1)x^6/6!</t>
    <phoneticPr fontId="1" type="noConversion"/>
  </si>
  <si>
    <t>(-1)x^8/8!</t>
    <phoneticPr fontId="1" type="noConversion"/>
  </si>
  <si>
    <t>(-1)x^10/10!</t>
    <phoneticPr fontId="1" type="noConversion"/>
  </si>
  <si>
    <t>(-1)x^12/12!</t>
    <phoneticPr fontId="1" type="noConversion"/>
  </si>
  <si>
    <t>(-1)x^14/14!</t>
    <phoneticPr fontId="1" type="noConversion"/>
  </si>
  <si>
    <t>(-1)x^16/16!</t>
    <phoneticPr fontId="1" type="noConversion"/>
  </si>
  <si>
    <t>(-1)x^18/18!</t>
    <phoneticPr fontId="1" type="noConversion"/>
  </si>
  <si>
    <t>(-1)x^20/20!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</si>
</sst>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/>
    <xf numFmtId="176" fontId="3" fillId="0" borderId="1" xfId="0" applyNumberFormat="1" applyFont="1" applyBorder="1"/>
    <xf numFmtId="176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33"/>
  <sheetViews>
    <sheetView tabSelected="1" topLeftCell="C1" zoomScaleNormal="100" workbookViewId="0">
      <selection activeCell="D15" sqref="D15"/>
    </sheetView>
  </sheetViews>
  <sheetFormatPr defaultColWidth="8.81640625" defaultRowHeight="14" x14ac:dyDescent="0.25"/>
  <cols>
    <col min="1" max="1" width="2.36328125" customWidth="1"/>
    <col min="2" max="2" width="6" customWidth="1"/>
    <col min="3" max="3" width="13.7265625" customWidth="1"/>
    <col min="4" max="4" width="13.36328125" customWidth="1"/>
    <col min="5" max="5" width="10.54296875" customWidth="1"/>
    <col min="6" max="6" width="13.6328125" customWidth="1"/>
    <col min="7" max="7" width="6.26953125" style="1" customWidth="1"/>
    <col min="8" max="18" width="15.6328125" style="1" customWidth="1"/>
    <col min="19" max="26" width="15.6328125" customWidth="1"/>
  </cols>
  <sheetData>
    <row r="2" spans="2:27" s="2" customFormat="1" x14ac:dyDescent="0.25">
      <c r="B2" s="4" t="s">
        <v>0</v>
      </c>
      <c r="C2" s="4" t="s">
        <v>13</v>
      </c>
      <c r="D2" s="4" t="s">
        <v>2</v>
      </c>
      <c r="E2" s="4" t="s">
        <v>3</v>
      </c>
      <c r="F2" s="4" t="s">
        <v>1</v>
      </c>
      <c r="G2" s="7" t="s">
        <v>0</v>
      </c>
      <c r="H2" s="7" t="s">
        <v>14</v>
      </c>
      <c r="I2" s="7" t="s">
        <v>4</v>
      </c>
      <c r="J2" s="7" t="s">
        <v>15</v>
      </c>
      <c r="K2" s="7" t="s">
        <v>5</v>
      </c>
      <c r="L2" s="7" t="s">
        <v>16</v>
      </c>
      <c r="M2" s="7" t="s">
        <v>6</v>
      </c>
      <c r="N2" s="7" t="s">
        <v>17</v>
      </c>
      <c r="O2" s="7" t="s">
        <v>7</v>
      </c>
      <c r="P2" s="7" t="s">
        <v>18</v>
      </c>
      <c r="Q2" s="7" t="s">
        <v>8</v>
      </c>
      <c r="R2" s="7" t="s">
        <v>19</v>
      </c>
      <c r="S2" s="7" t="s">
        <v>9</v>
      </c>
      <c r="T2" s="7" t="s">
        <v>20</v>
      </c>
      <c r="U2" s="7" t="s">
        <v>10</v>
      </c>
      <c r="V2" s="7" t="s">
        <v>21</v>
      </c>
      <c r="W2" s="7" t="s">
        <v>11</v>
      </c>
      <c r="X2" s="7" t="s">
        <v>22</v>
      </c>
      <c r="Y2" s="7" t="s">
        <v>12</v>
      </c>
      <c r="Z2" s="7" t="s">
        <v>23</v>
      </c>
      <c r="AA2" s="3"/>
    </row>
    <row r="3" spans="2:27" x14ac:dyDescent="0.25">
      <c r="B3">
        <v>-1</v>
      </c>
      <c r="C3" t="e">
        <f>LN(1+B3)</f>
        <v>#NUM!</v>
      </c>
      <c r="D3" s="5" t="e">
        <f t="shared" ref="D3:D12" si="0">C3-F3</f>
        <v>#NUM!</v>
      </c>
      <c r="E3" s="6" t="e">
        <f t="shared" ref="E3:E12" si="1">D3/C3</f>
        <v>#NUM!</v>
      </c>
      <c r="F3">
        <f>SUM(G3:Z3)</f>
        <v>-0.63212055882855778</v>
      </c>
      <c r="G3">
        <f>B3/1</f>
        <v>-1</v>
      </c>
      <c r="H3">
        <f>B3^2/FACT(2)</f>
        <v>0.5</v>
      </c>
      <c r="I3">
        <f>B3^3/FACT(3)</f>
        <v>-0.16666666666666666</v>
      </c>
      <c r="J3">
        <f>B3^4/FACT(4)</f>
        <v>4.1666666666666664E-2</v>
      </c>
      <c r="K3">
        <f>B3^5/FACT(5)</f>
        <v>-8.3333333333333332E-3</v>
      </c>
      <c r="L3">
        <f>B3^6/FACT(6)</f>
        <v>1.3888888888888889E-3</v>
      </c>
      <c r="M3">
        <f>B3^7/FACT(7)</f>
        <v>-1.9841269841269841E-4</v>
      </c>
      <c r="N3">
        <f>B3^8/FACT(8)</f>
        <v>2.4801587301587302E-5</v>
      </c>
      <c r="O3">
        <f>B3^9/FACT(9)</f>
        <v>-2.7557319223985893E-6</v>
      </c>
      <c r="P3">
        <f>B3^10/FACT(10)</f>
        <v>2.7557319223985888E-7</v>
      </c>
      <c r="Q3">
        <f>B3^11/FACT(11)</f>
        <v>-2.505210838544172E-8</v>
      </c>
      <c r="R3">
        <f>B3^12/FACT(12)</f>
        <v>2.08767569878681E-9</v>
      </c>
      <c r="S3">
        <f>B3^13/FACT(13)</f>
        <v>-1.6059043836821613E-10</v>
      </c>
      <c r="T3">
        <f>B3^14/FACT(14)</f>
        <v>1.1470745597729725E-11</v>
      </c>
      <c r="U3">
        <f>B3^15/FACT(15)</f>
        <v>-7.6471637318198164E-13</v>
      </c>
      <c r="V3">
        <f>B3^16/FACT(16)</f>
        <v>4.7794773323873853E-14</v>
      </c>
      <c r="W3">
        <f>B3^17/FACT(17)</f>
        <v>-2.8114572543455206E-15</v>
      </c>
      <c r="X3">
        <f>B3^18/FACT(18)</f>
        <v>1.5619206968586225E-16</v>
      </c>
      <c r="Y3">
        <f>B3^19/FACT(19)</f>
        <v>-8.2206352466243295E-18</v>
      </c>
      <c r="Z3">
        <f>B3^20/FACT(20)</f>
        <v>4.1103176233121648E-19</v>
      </c>
      <c r="AA3" s="1"/>
    </row>
    <row r="4" spans="2:27" x14ac:dyDescent="0.25">
      <c r="B4">
        <v>-0.9</v>
      </c>
      <c r="C4">
        <f>LN(1+B4)</f>
        <v>-2.3025850929940459</v>
      </c>
      <c r="D4" s="5">
        <f>C4-F4</f>
        <v>-0.84298198183709583</v>
      </c>
      <c r="E4" s="5">
        <f t="shared" si="1"/>
        <v>0.36610242305571794</v>
      </c>
      <c r="F4">
        <f>SUM(G4:Z4)</f>
        <v>-1.4596031111569501</v>
      </c>
      <c r="G4">
        <f>B4/1</f>
        <v>-0.9</v>
      </c>
      <c r="H4">
        <f>(-1)*B4^2/FACT(2)</f>
        <v>-0.40500000000000003</v>
      </c>
      <c r="I4">
        <f>B4^3/FACT(3)</f>
        <v>-0.12150000000000001</v>
      </c>
      <c r="J4">
        <f>(-1)*B4^4/FACT(4)</f>
        <v>-2.7337500000000004E-2</v>
      </c>
      <c r="K4">
        <f>B4^5/FACT(5)</f>
        <v>-4.9207500000000015E-3</v>
      </c>
      <c r="L4">
        <f>(-1)*B4^6/FACT(6)</f>
        <v>-7.3811250000000025E-4</v>
      </c>
      <c r="M4">
        <f>B4^7/FACT(7)</f>
        <v>-9.4900178571428602E-5</v>
      </c>
      <c r="N4">
        <f>(-1)*B4^8/FACT(8)</f>
        <v>-1.0676270089285719E-5</v>
      </c>
      <c r="O4">
        <f>B4^9/FACT(9)</f>
        <v>-1.0676270089285718E-6</v>
      </c>
      <c r="P4">
        <f>(-1)*B4^10/FACT(10)</f>
        <v>-9.6086430803571477E-8</v>
      </c>
      <c r="Q4">
        <f>B4^11/FACT(11)</f>
        <v>-7.8616170657467568E-9</v>
      </c>
      <c r="R4">
        <f>(-1)*B4^12/FACT(12)</f>
        <v>-5.8962127993100682E-10</v>
      </c>
      <c r="S4">
        <f>B4^13/FACT(13)</f>
        <v>-4.0819934764454326E-11</v>
      </c>
      <c r="T4">
        <f>(-1)*B4^14/FACT(14)</f>
        <v>-2.6241386634292064E-12</v>
      </c>
      <c r="U4">
        <f>B4^15/FACT(15)</f>
        <v>-1.5744831980575238E-13</v>
      </c>
      <c r="V4">
        <f>(-1)*B4^16/FACT(16)</f>
        <v>-8.8564679890735725E-15</v>
      </c>
      <c r="W4">
        <f>B4^17/FACT(17)</f>
        <v>-4.6887183471565975E-16</v>
      </c>
      <c r="X4">
        <f>(-1)*B4^18/FACT(18)</f>
        <v>-2.3443591735782985E-17</v>
      </c>
      <c r="Y4">
        <f>B4^19/FACT(19)</f>
        <v>-1.1104859243265627E-18</v>
      </c>
      <c r="Z4">
        <f>(-1)*B4^20/FACT(20)</f>
        <v>-4.9971866594695325E-20</v>
      </c>
      <c r="AA4" s="1"/>
    </row>
    <row r="5" spans="2:27" x14ac:dyDescent="0.25">
      <c r="B5">
        <v>-0.8</v>
      </c>
      <c r="C5">
        <f t="shared" ref="C5:C33" si="2">LN(1+B5)</f>
        <v>-1.6094379124341005</v>
      </c>
      <c r="D5" s="5">
        <f t="shared" si="0"/>
        <v>-0.3838969839416333</v>
      </c>
      <c r="E5" s="5">
        <f t="shared" si="1"/>
        <v>0.23852860739500706</v>
      </c>
      <c r="F5">
        <f>SUM(G5:Z5)</f>
        <v>-1.2255409284924672</v>
      </c>
      <c r="G5">
        <f>B5/1</f>
        <v>-0.8</v>
      </c>
      <c r="H5">
        <f t="shared" ref="H5:H33" si="3">(-1)*B5^2/FACT(2)</f>
        <v>-0.32000000000000006</v>
      </c>
      <c r="I5">
        <f t="shared" ref="I5:I33" si="4">B5^3/FACT(3)</f>
        <v>-8.5333333333333358E-2</v>
      </c>
      <c r="J5">
        <f t="shared" ref="J5:J33" si="5">(-1)*B5^4/FACT(4)</f>
        <v>-1.7066666666666674E-2</v>
      </c>
      <c r="K5">
        <f t="shared" ref="K5:K33" si="6">B5^5/FACT(5)</f>
        <v>-2.7306666666666681E-3</v>
      </c>
      <c r="L5">
        <f t="shared" ref="L5:L33" si="7">(-1)*B5^6/FACT(6)</f>
        <v>-3.6408888888888908E-4</v>
      </c>
      <c r="M5">
        <f t="shared" ref="M5:M33" si="8">B5^7/FACT(7)</f>
        <v>-4.161015873015876E-5</v>
      </c>
      <c r="N5">
        <f t="shared" ref="N5:N33" si="9">(-1)*B5^8/FACT(8)</f>
        <v>-4.1610158730158767E-6</v>
      </c>
      <c r="O5">
        <f t="shared" ref="O5:O33" si="10">B5^9/FACT(9)</f>
        <v>-3.6986807760141126E-7</v>
      </c>
      <c r="P5">
        <f t="shared" ref="P5:P33" si="11">(-1)*B5^10/FACT(10)</f>
        <v>-2.9589446208112906E-8</v>
      </c>
      <c r="Q5">
        <f t="shared" ref="Q5:Q33" si="12">B5^11/FACT(11)</f>
        <v>-2.1519597242263934E-9</v>
      </c>
      <c r="R5">
        <f t="shared" ref="R5:R33" si="13">(-1)*B5^12/FACT(12)</f>
        <v>-1.4346398161509293E-10</v>
      </c>
      <c r="S5">
        <f t="shared" ref="S5:S33" si="14">B5^13/FACT(13)</f>
        <v>-8.8285527147749498E-12</v>
      </c>
      <c r="T5">
        <f t="shared" ref="T5:T33" si="15">(-1)*B5^14/FACT(14)</f>
        <v>-5.044887265585685E-13</v>
      </c>
      <c r="U5">
        <f t="shared" ref="U5:U33" si="16">B5^15/FACT(15)</f>
        <v>-2.6906065416456996E-14</v>
      </c>
      <c r="V5">
        <f t="shared" ref="V5:V33" si="17">(-1)*B5^16/FACT(16)</f>
        <v>-1.3453032708228498E-15</v>
      </c>
      <c r="W5">
        <f t="shared" ref="W5:W33" si="18">B5^17/FACT(17)</f>
        <v>-6.3308389215192934E-17</v>
      </c>
      <c r="X5">
        <f t="shared" ref="X5:X33" si="19">(-1)*B5^18/FACT(18)</f>
        <v>-2.8137061873419084E-18</v>
      </c>
      <c r="Y5">
        <f t="shared" ref="Y5:Y33" si="20">B5^19/FACT(19)</f>
        <v>-1.1847183946702773E-19</v>
      </c>
      <c r="Z5">
        <f t="shared" ref="Z5:Z33" si="21">(-1)*B5^20/FACT(20)</f>
        <v>-4.738873578681111E-21</v>
      </c>
      <c r="AA5" s="1"/>
    </row>
    <row r="6" spans="2:27" x14ac:dyDescent="0.25">
      <c r="B6">
        <v>-0.7</v>
      </c>
      <c r="C6">
        <f t="shared" si="2"/>
        <v>-1.2039728043259359</v>
      </c>
      <c r="D6" s="5">
        <f t="shared" si="0"/>
        <v>-0.19022009685545993</v>
      </c>
      <c r="E6" s="5">
        <f t="shared" si="1"/>
        <v>0.15799368239215153</v>
      </c>
      <c r="F6">
        <f>SUM(G6:Z6)</f>
        <v>-1.013752707470476</v>
      </c>
      <c r="G6">
        <f>B6/1</f>
        <v>-0.7</v>
      </c>
      <c r="H6">
        <f t="shared" si="3"/>
        <v>-0.24499999999999997</v>
      </c>
      <c r="I6">
        <f t="shared" si="4"/>
        <v>-5.716666666666665E-2</v>
      </c>
      <c r="J6">
        <f t="shared" si="5"/>
        <v>-1.0004166666666663E-2</v>
      </c>
      <c r="K6">
        <f t="shared" si="6"/>
        <v>-1.4005833333333329E-3</v>
      </c>
      <c r="L6">
        <f t="shared" si="7"/>
        <v>-1.6340138888888881E-4</v>
      </c>
      <c r="M6">
        <f t="shared" si="8"/>
        <v>-1.6340138888888877E-5</v>
      </c>
      <c r="N6">
        <f t="shared" si="9"/>
        <v>-1.429762152777777E-6</v>
      </c>
      <c r="O6">
        <f t="shared" si="10"/>
        <v>-1.1120372299382708E-7</v>
      </c>
      <c r="P6">
        <f t="shared" si="11"/>
        <v>-7.7842606095678963E-9</v>
      </c>
      <c r="Q6">
        <f t="shared" si="12"/>
        <v>-4.953620387906842E-10</v>
      </c>
      <c r="R6">
        <f t="shared" si="13"/>
        <v>-2.8896118929456574E-11</v>
      </c>
      <c r="S6">
        <f t="shared" si="14"/>
        <v>-1.555944865432277E-12</v>
      </c>
      <c r="T6">
        <f t="shared" si="15"/>
        <v>-7.7797243271613851E-14</v>
      </c>
      <c r="U6">
        <f t="shared" si="16"/>
        <v>-3.6305380193419792E-15</v>
      </c>
      <c r="V6">
        <f t="shared" si="17"/>
        <v>-1.5883603834621159E-16</v>
      </c>
      <c r="W6">
        <f t="shared" si="18"/>
        <v>-6.540307461314594E-18</v>
      </c>
      <c r="X6">
        <f t="shared" si="19"/>
        <v>-2.5434529016223418E-19</v>
      </c>
      <c r="Y6">
        <f t="shared" si="20"/>
        <v>-9.3706159533454701E-21</v>
      </c>
      <c r="Z6">
        <f t="shared" si="21"/>
        <v>-3.2797155836709143E-22</v>
      </c>
      <c r="AA6" s="1"/>
    </row>
    <row r="7" spans="2:27" x14ac:dyDescent="0.25">
      <c r="B7">
        <v>-0.6</v>
      </c>
      <c r="C7">
        <f t="shared" si="2"/>
        <v>-0.916290731874155</v>
      </c>
      <c r="D7" s="5">
        <f t="shared" si="0"/>
        <v>-9.4171931483646221E-2</v>
      </c>
      <c r="E7" s="5">
        <f t="shared" si="1"/>
        <v>0.10277516535721105</v>
      </c>
      <c r="F7">
        <f>SUM(G7:Z7)</f>
        <v>-0.82211880039050877</v>
      </c>
      <c r="G7">
        <f>B7/1</f>
        <v>-0.6</v>
      </c>
      <c r="H7">
        <f t="shared" si="3"/>
        <v>-0.18</v>
      </c>
      <c r="I7">
        <f t="shared" si="4"/>
        <v>-3.5999999999999997E-2</v>
      </c>
      <c r="J7">
        <f t="shared" si="5"/>
        <v>-5.3999999999999994E-3</v>
      </c>
      <c r="K7">
        <f t="shared" si="6"/>
        <v>-6.4799999999999992E-4</v>
      </c>
      <c r="L7">
        <f t="shared" si="7"/>
        <v>-6.4799999999999989E-5</v>
      </c>
      <c r="M7">
        <f t="shared" si="8"/>
        <v>-5.5542857142857135E-6</v>
      </c>
      <c r="N7">
        <f t="shared" si="9"/>
        <v>-4.1657142857142851E-7</v>
      </c>
      <c r="O7">
        <f t="shared" si="10"/>
        <v>-2.7771428571428568E-8</v>
      </c>
      <c r="P7">
        <f t="shared" si="11"/>
        <v>-1.6662857142857141E-9</v>
      </c>
      <c r="Q7">
        <f t="shared" si="12"/>
        <v>-9.0888311688311667E-11</v>
      </c>
      <c r="R7">
        <f t="shared" si="13"/>
        <v>-4.5444155844155837E-12</v>
      </c>
      <c r="S7">
        <f t="shared" si="14"/>
        <v>-2.0974225774225769E-13</v>
      </c>
      <c r="T7">
        <f t="shared" si="15"/>
        <v>-8.9889539032396154E-15</v>
      </c>
      <c r="U7">
        <f t="shared" si="16"/>
        <v>-3.5955815612958463E-16</v>
      </c>
      <c r="V7">
        <f t="shared" si="17"/>
        <v>-1.3483430854859421E-17</v>
      </c>
      <c r="W7">
        <f t="shared" si="18"/>
        <v>-4.7588579487739136E-19</v>
      </c>
      <c r="X7">
        <f t="shared" si="19"/>
        <v>-1.5862859829246378E-20</v>
      </c>
      <c r="Y7">
        <f t="shared" si="20"/>
        <v>-5.0093241566041193E-22</v>
      </c>
      <c r="Z7">
        <f t="shared" si="21"/>
        <v>-1.5027972469812359E-23</v>
      </c>
      <c r="AA7" s="1"/>
    </row>
    <row r="8" spans="2:27" x14ac:dyDescent="0.25">
      <c r="B8">
        <v>-0.5</v>
      </c>
      <c r="C8">
        <f t="shared" si="2"/>
        <v>-0.69314718055994529</v>
      </c>
      <c r="D8" s="5">
        <f t="shared" si="0"/>
        <v>-4.4425909859817203E-2</v>
      </c>
      <c r="E8" s="5">
        <f t="shared" si="1"/>
        <v>6.4093039841738378E-2</v>
      </c>
      <c r="F8">
        <f>SUM(G8:Z8)</f>
        <v>-0.64872127070012808</v>
      </c>
      <c r="G8">
        <f>B8/1</f>
        <v>-0.5</v>
      </c>
      <c r="H8">
        <f t="shared" si="3"/>
        <v>-0.125</v>
      </c>
      <c r="I8">
        <f t="shared" si="4"/>
        <v>-2.0833333333333332E-2</v>
      </c>
      <c r="J8">
        <f t="shared" si="5"/>
        <v>-2.6041666666666665E-3</v>
      </c>
      <c r="K8">
        <f t="shared" si="6"/>
        <v>-2.6041666666666666E-4</v>
      </c>
      <c r="L8">
        <f t="shared" si="7"/>
        <v>-2.170138888888889E-5</v>
      </c>
      <c r="M8">
        <f t="shared" si="8"/>
        <v>-1.5500992063492063E-6</v>
      </c>
      <c r="N8">
        <f t="shared" si="9"/>
        <v>-9.6881200396825397E-8</v>
      </c>
      <c r="O8">
        <f t="shared" si="10"/>
        <v>-5.3822889109347446E-9</v>
      </c>
      <c r="P8">
        <f t="shared" si="11"/>
        <v>-2.6911444554673719E-10</v>
      </c>
      <c r="Q8">
        <f t="shared" si="12"/>
        <v>-1.2232474797578965E-11</v>
      </c>
      <c r="R8">
        <f t="shared" si="13"/>
        <v>-5.0968644989912354E-13</v>
      </c>
      <c r="S8">
        <f t="shared" si="14"/>
        <v>-1.9603324996120133E-14</v>
      </c>
      <c r="T8">
        <f t="shared" si="15"/>
        <v>-7.0011874986143338E-16</v>
      </c>
      <c r="U8">
        <f t="shared" si="16"/>
        <v>-2.333729166204778E-17</v>
      </c>
      <c r="V8">
        <f t="shared" si="17"/>
        <v>-7.2929036443899311E-19</v>
      </c>
      <c r="W8">
        <f t="shared" si="18"/>
        <v>-2.1449716601146855E-20</v>
      </c>
      <c r="X8">
        <f t="shared" si="19"/>
        <v>-5.9582546114296819E-22</v>
      </c>
      <c r="Y8">
        <f t="shared" si="20"/>
        <v>-1.5679617398499164E-23</v>
      </c>
      <c r="Z8">
        <f t="shared" si="21"/>
        <v>-3.919904349624791E-25</v>
      </c>
      <c r="AA8" s="1"/>
    </row>
    <row r="9" spans="2:27" x14ac:dyDescent="0.25">
      <c r="B9">
        <v>-0.4</v>
      </c>
      <c r="C9">
        <f t="shared" si="2"/>
        <v>-0.51082562376599072</v>
      </c>
      <c r="D9" s="5">
        <f t="shared" si="0"/>
        <v>-1.9000926124720374E-2</v>
      </c>
      <c r="E9" s="5">
        <f t="shared" si="1"/>
        <v>3.7196501586272621E-2</v>
      </c>
      <c r="F9">
        <f>SUM(G9:Z9)</f>
        <v>-0.49182469764127035</v>
      </c>
      <c r="G9">
        <f>B9/1</f>
        <v>-0.4</v>
      </c>
      <c r="H9">
        <f t="shared" si="3"/>
        <v>-8.0000000000000016E-2</v>
      </c>
      <c r="I9">
        <f t="shared" si="4"/>
        <v>-1.066666666666667E-2</v>
      </c>
      <c r="J9">
        <f t="shared" si="5"/>
        <v>-1.0666666666666672E-3</v>
      </c>
      <c r="K9">
        <f t="shared" si="6"/>
        <v>-8.5333333333333379E-5</v>
      </c>
      <c r="L9">
        <f t="shared" si="7"/>
        <v>-5.6888888888888918E-6</v>
      </c>
      <c r="M9">
        <f t="shared" si="8"/>
        <v>-3.2507936507936532E-7</v>
      </c>
      <c r="N9">
        <f t="shared" si="9"/>
        <v>-1.6253968253968268E-8</v>
      </c>
      <c r="O9">
        <f t="shared" si="10"/>
        <v>-7.2239858906525637E-10</v>
      </c>
      <c r="P9">
        <f t="shared" si="11"/>
        <v>-2.889594356261026E-11</v>
      </c>
      <c r="Q9">
        <f t="shared" si="12"/>
        <v>-1.0507615840949186E-12</v>
      </c>
      <c r="R9">
        <f t="shared" si="13"/>
        <v>-3.5025386136497298E-14</v>
      </c>
      <c r="S9">
        <f t="shared" si="14"/>
        <v>-1.0777041888153015E-15</v>
      </c>
      <c r="T9">
        <f t="shared" si="15"/>
        <v>-3.0791548251865753E-17</v>
      </c>
      <c r="U9">
        <f t="shared" si="16"/>
        <v>-8.2110795338308703E-19</v>
      </c>
      <c r="V9">
        <f t="shared" si="17"/>
        <v>-2.0527698834577175E-20</v>
      </c>
      <c r="W9">
        <f t="shared" si="18"/>
        <v>-4.8300467846063945E-22</v>
      </c>
      <c r="X9">
        <f t="shared" si="19"/>
        <v>-1.0733437299125322E-23</v>
      </c>
      <c r="Y9">
        <f t="shared" si="20"/>
        <v>-2.2596710103421732E-25</v>
      </c>
      <c r="Z9">
        <f t="shared" si="21"/>
        <v>-4.5193420206843481E-27</v>
      </c>
      <c r="AA9" s="1"/>
    </row>
    <row r="10" spans="2:27" x14ac:dyDescent="0.25">
      <c r="B10">
        <v>-0.3</v>
      </c>
      <c r="C10">
        <f t="shared" si="2"/>
        <v>-0.35667494393873245</v>
      </c>
      <c r="D10" s="5">
        <f t="shared" si="0"/>
        <v>-6.8161363627294302E-3</v>
      </c>
      <c r="E10" s="5">
        <f t="shared" si="1"/>
        <v>1.9110219202558468E-2</v>
      </c>
      <c r="F10">
        <f>SUM(G10:Z10)</f>
        <v>-0.34985880757600302</v>
      </c>
      <c r="G10">
        <f>B10/1</f>
        <v>-0.3</v>
      </c>
      <c r="H10">
        <f t="shared" si="3"/>
        <v>-4.4999999999999998E-2</v>
      </c>
      <c r="I10">
        <f t="shared" si="4"/>
        <v>-4.4999999999999997E-3</v>
      </c>
      <c r="J10">
        <f t="shared" si="5"/>
        <v>-3.3749999999999996E-4</v>
      </c>
      <c r="K10">
        <f t="shared" si="6"/>
        <v>-2.0249999999999998E-5</v>
      </c>
      <c r="L10">
        <f t="shared" si="7"/>
        <v>-1.0124999999999998E-6</v>
      </c>
      <c r="M10">
        <f t="shared" si="8"/>
        <v>-4.3392857142857137E-8</v>
      </c>
      <c r="N10">
        <f t="shared" si="9"/>
        <v>-1.6272321428571426E-9</v>
      </c>
      <c r="O10">
        <f t="shared" si="10"/>
        <v>-5.4241071428571422E-11</v>
      </c>
      <c r="P10">
        <f t="shared" si="11"/>
        <v>-1.6272321428571427E-12</v>
      </c>
      <c r="Q10">
        <f t="shared" si="12"/>
        <v>-4.4379058441558431E-14</v>
      </c>
      <c r="R10">
        <f t="shared" si="13"/>
        <v>-1.1094764610389609E-15</v>
      </c>
      <c r="S10">
        <f t="shared" si="14"/>
        <v>-2.5603302947052941E-17</v>
      </c>
      <c r="T10">
        <f t="shared" si="15"/>
        <v>-5.4864220600827731E-19</v>
      </c>
      <c r="U10">
        <f t="shared" si="16"/>
        <v>-1.0972844120165547E-20</v>
      </c>
      <c r="V10">
        <f t="shared" si="17"/>
        <v>-2.0574082725310396E-22</v>
      </c>
      <c r="W10">
        <f t="shared" si="18"/>
        <v>-3.6307204809371289E-24</v>
      </c>
      <c r="X10">
        <f t="shared" si="19"/>
        <v>-6.0512008015618813E-26</v>
      </c>
      <c r="Y10">
        <f t="shared" si="20"/>
        <v>-9.5545275814134965E-28</v>
      </c>
      <c r="Z10">
        <f t="shared" si="21"/>
        <v>-1.4331791372120246E-29</v>
      </c>
      <c r="AA10" s="1"/>
    </row>
    <row r="11" spans="2:27" x14ac:dyDescent="0.25">
      <c r="B11">
        <v>-0.2</v>
      </c>
      <c r="C11">
        <f t="shared" si="2"/>
        <v>-0.22314355131420971</v>
      </c>
      <c r="D11" s="5">
        <f t="shared" si="0"/>
        <v>-1.7407931540398547E-3</v>
      </c>
      <c r="E11" s="5">
        <f t="shared" si="1"/>
        <v>7.8012254613113773E-3</v>
      </c>
      <c r="F11">
        <f>SUM(G11:Z11)</f>
        <v>-0.22140275816016985</v>
      </c>
      <c r="G11">
        <f>B11/1</f>
        <v>-0.2</v>
      </c>
      <c r="H11">
        <f t="shared" si="3"/>
        <v>-2.0000000000000004E-2</v>
      </c>
      <c r="I11">
        <f t="shared" si="4"/>
        <v>-1.3333333333333337E-3</v>
      </c>
      <c r="J11">
        <f t="shared" si="5"/>
        <v>-6.6666666666666697E-5</v>
      </c>
      <c r="K11">
        <f t="shared" si="6"/>
        <v>-2.6666666666666681E-6</v>
      </c>
      <c r="L11">
        <f t="shared" si="7"/>
        <v>-8.8888888888888935E-8</v>
      </c>
      <c r="M11">
        <f t="shared" si="8"/>
        <v>-2.5396825396825415E-9</v>
      </c>
      <c r="N11">
        <f t="shared" si="9"/>
        <v>-6.3492063492063549E-11</v>
      </c>
      <c r="O11">
        <f t="shared" si="10"/>
        <v>-1.4109347442680788E-12</v>
      </c>
      <c r="P11">
        <f t="shared" si="11"/>
        <v>-2.8218694885361582E-14</v>
      </c>
      <c r="Q11">
        <f t="shared" si="12"/>
        <v>-5.13067179733847E-16</v>
      </c>
      <c r="R11">
        <f t="shared" si="13"/>
        <v>-8.5511196622307855E-18</v>
      </c>
      <c r="S11">
        <f t="shared" si="14"/>
        <v>-1.3155568711124286E-19</v>
      </c>
      <c r="T11">
        <f t="shared" si="15"/>
        <v>-1.8793669587320406E-21</v>
      </c>
      <c r="U11">
        <f t="shared" si="16"/>
        <v>-2.5058226116427217E-23</v>
      </c>
      <c r="V11">
        <f t="shared" si="17"/>
        <v>-3.132278264553402E-25</v>
      </c>
      <c r="W11">
        <f t="shared" si="18"/>
        <v>-3.6850332524157673E-27</v>
      </c>
      <c r="X11">
        <f t="shared" si="19"/>
        <v>-4.094481391573075E-29</v>
      </c>
      <c r="Y11">
        <f t="shared" si="20"/>
        <v>-4.3099804121821847E-31</v>
      </c>
      <c r="Z11">
        <f t="shared" si="21"/>
        <v>-4.3099804121821862E-33</v>
      </c>
      <c r="AA11" s="1"/>
    </row>
    <row r="12" spans="2:27" x14ac:dyDescent="0.25">
      <c r="B12">
        <v>-0.1</v>
      </c>
      <c r="C12">
        <f t="shared" si="2"/>
        <v>-0.10536051565782628</v>
      </c>
      <c r="D12" s="5">
        <f t="shared" si="0"/>
        <v>-1.8959758217865219E-4</v>
      </c>
      <c r="E12" s="5">
        <f t="shared" si="1"/>
        <v>1.7995126636851145E-3</v>
      </c>
      <c r="F12">
        <f>SUM(G12:Z12)</f>
        <v>-0.10517091807564763</v>
      </c>
      <c r="G12">
        <f>B12/1</f>
        <v>-0.1</v>
      </c>
      <c r="H12">
        <f t="shared" si="3"/>
        <v>-5.000000000000001E-3</v>
      </c>
      <c r="I12">
        <f t="shared" si="4"/>
        <v>-1.6666666666666672E-4</v>
      </c>
      <c r="J12">
        <f t="shared" si="5"/>
        <v>-4.1666666666666686E-6</v>
      </c>
      <c r="K12">
        <f t="shared" si="6"/>
        <v>-8.3333333333333378E-8</v>
      </c>
      <c r="L12">
        <f t="shared" si="7"/>
        <v>-1.3888888888888896E-9</v>
      </c>
      <c r="M12">
        <f t="shared" si="8"/>
        <v>-1.9841269841269856E-11</v>
      </c>
      <c r="N12">
        <f t="shared" si="9"/>
        <v>-2.4801587301587324E-13</v>
      </c>
      <c r="O12">
        <f t="shared" si="10"/>
        <v>-2.7557319223985915E-15</v>
      </c>
      <c r="P12">
        <f t="shared" si="11"/>
        <v>-2.755731922398592E-17</v>
      </c>
      <c r="Q12">
        <f t="shared" si="12"/>
        <v>-2.5052108385441748E-19</v>
      </c>
      <c r="R12">
        <f t="shared" si="13"/>
        <v>-2.0876756987868129E-21</v>
      </c>
      <c r="S12">
        <f t="shared" si="14"/>
        <v>-1.6059043836821638E-23</v>
      </c>
      <c r="T12">
        <f t="shared" si="15"/>
        <v>-1.147074559772974E-25</v>
      </c>
      <c r="U12">
        <f t="shared" si="16"/>
        <v>-7.6471637318198293E-28</v>
      </c>
      <c r="V12">
        <f t="shared" si="17"/>
        <v>-4.7794773323873932E-30</v>
      </c>
      <c r="W12">
        <f t="shared" si="18"/>
        <v>-2.8114572543455256E-32</v>
      </c>
      <c r="X12">
        <f t="shared" si="19"/>
        <v>-1.5619206968586254E-34</v>
      </c>
      <c r="Y12">
        <f t="shared" si="20"/>
        <v>-8.2206352466243451E-37</v>
      </c>
      <c r="Z12">
        <f t="shared" si="21"/>
        <v>-4.1103176233121741E-39</v>
      </c>
      <c r="AA12" s="1"/>
    </row>
    <row r="13" spans="2:27" x14ac:dyDescent="0.25">
      <c r="B13">
        <v>0</v>
      </c>
      <c r="C13">
        <f t="shared" si="2"/>
        <v>0</v>
      </c>
      <c r="D13" s="5">
        <f>C13-F13</f>
        <v>0</v>
      </c>
      <c r="E13" s="5" t="e">
        <f>D13/C13</f>
        <v>#DIV/0!</v>
      </c>
      <c r="F13">
        <f>SUM(G13:Z13)</f>
        <v>0</v>
      </c>
      <c r="G13">
        <f>B13/1</f>
        <v>0</v>
      </c>
      <c r="H13">
        <f t="shared" si="3"/>
        <v>0</v>
      </c>
      <c r="I13">
        <f t="shared" si="4"/>
        <v>0</v>
      </c>
      <c r="J13">
        <f t="shared" si="5"/>
        <v>0</v>
      </c>
      <c r="K13">
        <f t="shared" si="6"/>
        <v>0</v>
      </c>
      <c r="L13">
        <f t="shared" si="7"/>
        <v>0</v>
      </c>
      <c r="M13">
        <f t="shared" si="8"/>
        <v>0</v>
      </c>
      <c r="N13">
        <f t="shared" si="9"/>
        <v>0</v>
      </c>
      <c r="O13">
        <f t="shared" si="10"/>
        <v>0</v>
      </c>
      <c r="P13">
        <f t="shared" si="11"/>
        <v>0</v>
      </c>
      <c r="Q13">
        <f t="shared" si="12"/>
        <v>0</v>
      </c>
      <c r="R13">
        <f t="shared" si="13"/>
        <v>0</v>
      </c>
      <c r="S13">
        <f t="shared" si="14"/>
        <v>0</v>
      </c>
      <c r="T13">
        <f t="shared" si="15"/>
        <v>0</v>
      </c>
      <c r="U13">
        <f t="shared" si="16"/>
        <v>0</v>
      </c>
      <c r="V13">
        <f t="shared" si="17"/>
        <v>0</v>
      </c>
      <c r="W13">
        <f t="shared" si="18"/>
        <v>0</v>
      </c>
      <c r="X13">
        <f t="shared" si="19"/>
        <v>0</v>
      </c>
      <c r="Y13">
        <f t="shared" si="20"/>
        <v>0</v>
      </c>
      <c r="Z13">
        <f t="shared" si="21"/>
        <v>0</v>
      </c>
    </row>
    <row r="14" spans="2:27" x14ac:dyDescent="0.25">
      <c r="B14">
        <v>0.1</v>
      </c>
      <c r="C14">
        <f t="shared" si="2"/>
        <v>9.5310179804324935E-2</v>
      </c>
      <c r="D14" s="5">
        <f t="shared" ref="D14:D33" si="22">C14-F14</f>
        <v>1.4759784028450795E-4</v>
      </c>
      <c r="E14" s="5">
        <f t="shared" ref="E14:E33" si="23">D14/C14</f>
        <v>1.548605202377452E-3</v>
      </c>
      <c r="F14">
        <f>SUM(G14:Z14)</f>
        <v>9.5162581964040427E-2</v>
      </c>
      <c r="G14">
        <f>B14/1</f>
        <v>0.1</v>
      </c>
      <c r="H14">
        <f t="shared" si="3"/>
        <v>-5.000000000000001E-3</v>
      </c>
      <c r="I14">
        <f t="shared" si="4"/>
        <v>1.6666666666666672E-4</v>
      </c>
      <c r="J14">
        <f t="shared" si="5"/>
        <v>-4.1666666666666686E-6</v>
      </c>
      <c r="K14">
        <f t="shared" si="6"/>
        <v>8.3333333333333378E-8</v>
      </c>
      <c r="L14">
        <f t="shared" si="7"/>
        <v>-1.3888888888888896E-9</v>
      </c>
      <c r="M14">
        <f t="shared" si="8"/>
        <v>1.9841269841269856E-11</v>
      </c>
      <c r="N14">
        <f t="shared" si="9"/>
        <v>-2.4801587301587324E-13</v>
      </c>
      <c r="O14">
        <f t="shared" si="10"/>
        <v>2.7557319223985915E-15</v>
      </c>
      <c r="P14">
        <f t="shared" si="11"/>
        <v>-2.755731922398592E-17</v>
      </c>
      <c r="Q14">
        <f t="shared" si="12"/>
        <v>2.5052108385441748E-19</v>
      </c>
      <c r="R14">
        <f t="shared" si="13"/>
        <v>-2.0876756987868129E-21</v>
      </c>
      <c r="S14">
        <f t="shared" si="14"/>
        <v>1.6059043836821638E-23</v>
      </c>
      <c r="T14">
        <f t="shared" si="15"/>
        <v>-1.147074559772974E-25</v>
      </c>
      <c r="U14">
        <f t="shared" si="16"/>
        <v>7.6471637318198293E-28</v>
      </c>
      <c r="V14">
        <f t="shared" si="17"/>
        <v>-4.7794773323873932E-30</v>
      </c>
      <c r="W14">
        <f t="shared" si="18"/>
        <v>2.8114572543455256E-32</v>
      </c>
      <c r="X14">
        <f t="shared" si="19"/>
        <v>-1.5619206968586254E-34</v>
      </c>
      <c r="Y14">
        <f t="shared" si="20"/>
        <v>8.2206352466243451E-37</v>
      </c>
      <c r="Z14">
        <f t="shared" si="21"/>
        <v>-4.1103176233121741E-39</v>
      </c>
    </row>
    <row r="15" spans="2:27" x14ac:dyDescent="0.25">
      <c r="B15">
        <v>0.2</v>
      </c>
      <c r="C15">
        <f t="shared" si="2"/>
        <v>0.18232155679395459</v>
      </c>
      <c r="D15" s="5">
        <f t="shared" si="22"/>
        <v>1.0523098719364687E-3</v>
      </c>
      <c r="E15" s="5">
        <f t="shared" si="23"/>
        <v>5.7717249152589569E-3</v>
      </c>
      <c r="F15">
        <f>SUM(G15:Z15)</f>
        <v>0.18126924692201812</v>
      </c>
      <c r="G15">
        <f>B15/1</f>
        <v>0.2</v>
      </c>
      <c r="H15">
        <f t="shared" si="3"/>
        <v>-2.0000000000000004E-2</v>
      </c>
      <c r="I15">
        <f t="shared" si="4"/>
        <v>1.3333333333333337E-3</v>
      </c>
      <c r="J15">
        <f t="shared" si="5"/>
        <v>-6.6666666666666697E-5</v>
      </c>
      <c r="K15">
        <f t="shared" si="6"/>
        <v>2.6666666666666681E-6</v>
      </c>
      <c r="L15">
        <f t="shared" si="7"/>
        <v>-8.8888888888888935E-8</v>
      </c>
      <c r="M15">
        <f t="shared" si="8"/>
        <v>2.5396825396825415E-9</v>
      </c>
      <c r="N15">
        <f t="shared" si="9"/>
        <v>-6.3492063492063549E-11</v>
      </c>
      <c r="O15">
        <f t="shared" si="10"/>
        <v>1.4109347442680788E-12</v>
      </c>
      <c r="P15">
        <f t="shared" si="11"/>
        <v>-2.8218694885361582E-14</v>
      </c>
      <c r="Q15">
        <f t="shared" si="12"/>
        <v>5.13067179733847E-16</v>
      </c>
      <c r="R15">
        <f t="shared" si="13"/>
        <v>-8.5511196622307855E-18</v>
      </c>
      <c r="S15">
        <f t="shared" si="14"/>
        <v>1.3155568711124286E-19</v>
      </c>
      <c r="T15">
        <f t="shared" si="15"/>
        <v>-1.8793669587320406E-21</v>
      </c>
      <c r="U15">
        <f t="shared" si="16"/>
        <v>2.5058226116427217E-23</v>
      </c>
      <c r="V15">
        <f t="shared" si="17"/>
        <v>-3.132278264553402E-25</v>
      </c>
      <c r="W15">
        <f t="shared" si="18"/>
        <v>3.6850332524157673E-27</v>
      </c>
      <c r="X15">
        <f t="shared" si="19"/>
        <v>-4.094481391573075E-29</v>
      </c>
      <c r="Y15">
        <f t="shared" si="20"/>
        <v>4.3099804121821847E-31</v>
      </c>
      <c r="Z15">
        <f t="shared" si="21"/>
        <v>-4.3099804121821862E-33</v>
      </c>
    </row>
    <row r="16" spans="2:27" x14ac:dyDescent="0.25">
      <c r="B16">
        <v>0.3</v>
      </c>
      <c r="C16">
        <f t="shared" si="2"/>
        <v>0.26236426446749106</v>
      </c>
      <c r="D16" s="5">
        <f t="shared" si="22"/>
        <v>3.1824851492089912E-3</v>
      </c>
      <c r="E16" s="5">
        <f t="shared" si="23"/>
        <v>1.2130025236738463E-2</v>
      </c>
      <c r="F16">
        <f>SUM(G16:Z16)</f>
        <v>0.25918177931828207</v>
      </c>
      <c r="G16">
        <f>B16/1</f>
        <v>0.3</v>
      </c>
      <c r="H16">
        <f t="shared" si="3"/>
        <v>-4.4999999999999998E-2</v>
      </c>
      <c r="I16">
        <f t="shared" si="4"/>
        <v>4.4999999999999997E-3</v>
      </c>
      <c r="J16">
        <f t="shared" si="5"/>
        <v>-3.3749999999999996E-4</v>
      </c>
      <c r="K16">
        <f t="shared" si="6"/>
        <v>2.0249999999999998E-5</v>
      </c>
      <c r="L16">
        <f t="shared" si="7"/>
        <v>-1.0124999999999998E-6</v>
      </c>
      <c r="M16">
        <f t="shared" si="8"/>
        <v>4.3392857142857137E-8</v>
      </c>
      <c r="N16">
        <f t="shared" si="9"/>
        <v>-1.6272321428571426E-9</v>
      </c>
      <c r="O16">
        <f t="shared" si="10"/>
        <v>5.4241071428571422E-11</v>
      </c>
      <c r="P16">
        <f t="shared" si="11"/>
        <v>-1.6272321428571427E-12</v>
      </c>
      <c r="Q16">
        <f t="shared" si="12"/>
        <v>4.4379058441558431E-14</v>
      </c>
      <c r="R16">
        <f t="shared" si="13"/>
        <v>-1.1094764610389609E-15</v>
      </c>
      <c r="S16">
        <f t="shared" si="14"/>
        <v>2.5603302947052941E-17</v>
      </c>
      <c r="T16">
        <f t="shared" si="15"/>
        <v>-5.4864220600827731E-19</v>
      </c>
      <c r="U16">
        <f t="shared" si="16"/>
        <v>1.0972844120165547E-20</v>
      </c>
      <c r="V16">
        <f t="shared" si="17"/>
        <v>-2.0574082725310396E-22</v>
      </c>
      <c r="W16">
        <f t="shared" si="18"/>
        <v>3.6307204809371289E-24</v>
      </c>
      <c r="X16">
        <f t="shared" si="19"/>
        <v>-6.0512008015618813E-26</v>
      </c>
      <c r="Y16">
        <f t="shared" si="20"/>
        <v>9.5545275814134965E-28</v>
      </c>
      <c r="Z16">
        <f t="shared" si="21"/>
        <v>-1.4331791372120246E-29</v>
      </c>
    </row>
    <row r="17" spans="2:26" x14ac:dyDescent="0.25">
      <c r="B17">
        <v>0.4</v>
      </c>
      <c r="C17">
        <f t="shared" si="2"/>
        <v>0.33647223662121289</v>
      </c>
      <c r="D17" s="5">
        <f t="shared" si="22"/>
        <v>6.7922826568522221E-3</v>
      </c>
      <c r="E17" s="5">
        <f t="shared" si="23"/>
        <v>2.0186755154181429E-2</v>
      </c>
      <c r="F17">
        <f>SUM(G17:Z17)</f>
        <v>0.32967995396436067</v>
      </c>
      <c r="G17">
        <f>B17/1</f>
        <v>0.4</v>
      </c>
      <c r="H17">
        <f t="shared" si="3"/>
        <v>-8.0000000000000016E-2</v>
      </c>
      <c r="I17">
        <f t="shared" si="4"/>
        <v>1.066666666666667E-2</v>
      </c>
      <c r="J17">
        <f t="shared" si="5"/>
        <v>-1.0666666666666672E-3</v>
      </c>
      <c r="K17">
        <f t="shared" si="6"/>
        <v>8.5333333333333379E-5</v>
      </c>
      <c r="L17">
        <f t="shared" si="7"/>
        <v>-5.6888888888888918E-6</v>
      </c>
      <c r="M17">
        <f t="shared" si="8"/>
        <v>3.2507936507936532E-7</v>
      </c>
      <c r="N17">
        <f t="shared" si="9"/>
        <v>-1.6253968253968268E-8</v>
      </c>
      <c r="O17">
        <f t="shared" si="10"/>
        <v>7.2239858906525637E-10</v>
      </c>
      <c r="P17">
        <f t="shared" si="11"/>
        <v>-2.889594356261026E-11</v>
      </c>
      <c r="Q17">
        <f t="shared" si="12"/>
        <v>1.0507615840949186E-12</v>
      </c>
      <c r="R17">
        <f t="shared" si="13"/>
        <v>-3.5025386136497298E-14</v>
      </c>
      <c r="S17">
        <f t="shared" si="14"/>
        <v>1.0777041888153015E-15</v>
      </c>
      <c r="T17">
        <f t="shared" si="15"/>
        <v>-3.0791548251865753E-17</v>
      </c>
      <c r="U17">
        <f t="shared" si="16"/>
        <v>8.2110795338308703E-19</v>
      </c>
      <c r="V17">
        <f t="shared" si="17"/>
        <v>-2.0527698834577175E-20</v>
      </c>
      <c r="W17">
        <f t="shared" si="18"/>
        <v>4.8300467846063945E-22</v>
      </c>
      <c r="X17">
        <f t="shared" si="19"/>
        <v>-1.0733437299125322E-23</v>
      </c>
      <c r="Y17">
        <f t="shared" si="20"/>
        <v>2.2596710103421732E-25</v>
      </c>
      <c r="Z17">
        <f t="shared" si="21"/>
        <v>-4.5193420206843481E-27</v>
      </c>
    </row>
    <row r="18" spans="2:26" x14ac:dyDescent="0.25">
      <c r="B18">
        <v>0.5</v>
      </c>
      <c r="C18">
        <f t="shared" si="2"/>
        <v>0.40546510810816438</v>
      </c>
      <c r="D18" s="5">
        <f t="shared" si="22"/>
        <v>1.1995767820797976E-2</v>
      </c>
      <c r="E18" s="5">
        <f t="shared" si="23"/>
        <v>2.9585203710297828E-2</v>
      </c>
      <c r="F18">
        <f>SUM(G18:Z18)</f>
        <v>0.39346934028736641</v>
      </c>
      <c r="G18">
        <f>B18/1</f>
        <v>0.5</v>
      </c>
      <c r="H18">
        <f t="shared" si="3"/>
        <v>-0.125</v>
      </c>
      <c r="I18">
        <f t="shared" si="4"/>
        <v>2.0833333333333332E-2</v>
      </c>
      <c r="J18">
        <f t="shared" si="5"/>
        <v>-2.6041666666666665E-3</v>
      </c>
      <c r="K18">
        <f t="shared" si="6"/>
        <v>2.6041666666666666E-4</v>
      </c>
      <c r="L18">
        <f t="shared" si="7"/>
        <v>-2.170138888888889E-5</v>
      </c>
      <c r="M18">
        <f t="shared" si="8"/>
        <v>1.5500992063492063E-6</v>
      </c>
      <c r="N18">
        <f t="shared" si="9"/>
        <v>-9.6881200396825397E-8</v>
      </c>
      <c r="O18">
        <f t="shared" si="10"/>
        <v>5.3822889109347446E-9</v>
      </c>
      <c r="P18">
        <f t="shared" si="11"/>
        <v>-2.6911444554673719E-10</v>
      </c>
      <c r="Q18">
        <f t="shared" si="12"/>
        <v>1.2232474797578965E-11</v>
      </c>
      <c r="R18">
        <f t="shared" si="13"/>
        <v>-5.0968644989912354E-13</v>
      </c>
      <c r="S18">
        <f t="shared" si="14"/>
        <v>1.9603324996120133E-14</v>
      </c>
      <c r="T18">
        <f t="shared" si="15"/>
        <v>-7.0011874986143338E-16</v>
      </c>
      <c r="U18">
        <f t="shared" si="16"/>
        <v>2.333729166204778E-17</v>
      </c>
      <c r="V18">
        <f t="shared" si="17"/>
        <v>-7.2929036443899311E-19</v>
      </c>
      <c r="W18">
        <f t="shared" si="18"/>
        <v>2.1449716601146855E-20</v>
      </c>
      <c r="X18">
        <f t="shared" si="19"/>
        <v>-5.9582546114296819E-22</v>
      </c>
      <c r="Y18">
        <f t="shared" si="20"/>
        <v>1.5679617398499164E-23</v>
      </c>
      <c r="Z18">
        <f t="shared" si="21"/>
        <v>-3.919904349624791E-25</v>
      </c>
    </row>
    <row r="19" spans="2:26" x14ac:dyDescent="0.25">
      <c r="B19">
        <v>0.6</v>
      </c>
      <c r="C19">
        <f t="shared" si="2"/>
        <v>0.47000362924573563</v>
      </c>
      <c r="D19" s="5">
        <f t="shared" si="22"/>
        <v>1.8815265339762188E-2</v>
      </c>
      <c r="E19" s="5">
        <f t="shared" si="23"/>
        <v>4.003217032591222E-2</v>
      </c>
      <c r="F19">
        <f>SUM(G19:Z19)</f>
        <v>0.45118836390597344</v>
      </c>
      <c r="G19">
        <f>B19/1</f>
        <v>0.6</v>
      </c>
      <c r="H19">
        <f t="shared" si="3"/>
        <v>-0.18</v>
      </c>
      <c r="I19">
        <f t="shared" si="4"/>
        <v>3.5999999999999997E-2</v>
      </c>
      <c r="J19">
        <f t="shared" si="5"/>
        <v>-5.3999999999999994E-3</v>
      </c>
      <c r="K19">
        <f t="shared" si="6"/>
        <v>6.4799999999999992E-4</v>
      </c>
      <c r="L19">
        <f t="shared" si="7"/>
        <v>-6.4799999999999989E-5</v>
      </c>
      <c r="M19">
        <f t="shared" si="8"/>
        <v>5.5542857142857135E-6</v>
      </c>
      <c r="N19">
        <f t="shared" si="9"/>
        <v>-4.1657142857142851E-7</v>
      </c>
      <c r="O19">
        <f t="shared" si="10"/>
        <v>2.7771428571428568E-8</v>
      </c>
      <c r="P19">
        <f t="shared" si="11"/>
        <v>-1.6662857142857141E-9</v>
      </c>
      <c r="Q19">
        <f t="shared" si="12"/>
        <v>9.0888311688311667E-11</v>
      </c>
      <c r="R19">
        <f t="shared" si="13"/>
        <v>-4.5444155844155837E-12</v>
      </c>
      <c r="S19">
        <f t="shared" si="14"/>
        <v>2.0974225774225769E-13</v>
      </c>
      <c r="T19">
        <f t="shared" si="15"/>
        <v>-8.9889539032396154E-15</v>
      </c>
      <c r="U19">
        <f t="shared" si="16"/>
        <v>3.5955815612958463E-16</v>
      </c>
      <c r="V19">
        <f t="shared" si="17"/>
        <v>-1.3483430854859421E-17</v>
      </c>
      <c r="W19">
        <f t="shared" si="18"/>
        <v>4.7588579487739136E-19</v>
      </c>
      <c r="X19">
        <f t="shared" si="19"/>
        <v>-1.5862859829246378E-20</v>
      </c>
      <c r="Y19">
        <f t="shared" si="20"/>
        <v>5.0093241566041193E-22</v>
      </c>
      <c r="Z19">
        <f t="shared" si="21"/>
        <v>-1.5027972469812359E-23</v>
      </c>
    </row>
    <row r="20" spans="2:26" x14ac:dyDescent="0.25">
      <c r="B20">
        <v>0.7</v>
      </c>
      <c r="C20">
        <f t="shared" si="2"/>
        <v>0.53062825106217038</v>
      </c>
      <c r="D20" s="5">
        <f t="shared" si="22"/>
        <v>2.7213554853579791E-2</v>
      </c>
      <c r="E20" s="5">
        <f t="shared" si="23"/>
        <v>5.1285537095142997E-2</v>
      </c>
      <c r="F20">
        <f>SUM(G20:Z20)</f>
        <v>0.50341469620859058</v>
      </c>
      <c r="G20">
        <f>B20/1</f>
        <v>0.7</v>
      </c>
      <c r="H20">
        <f t="shared" si="3"/>
        <v>-0.24499999999999997</v>
      </c>
      <c r="I20">
        <f t="shared" si="4"/>
        <v>5.716666666666665E-2</v>
      </c>
      <c r="J20">
        <f t="shared" si="5"/>
        <v>-1.0004166666666663E-2</v>
      </c>
      <c r="K20">
        <f t="shared" si="6"/>
        <v>1.4005833333333329E-3</v>
      </c>
      <c r="L20">
        <f t="shared" si="7"/>
        <v>-1.6340138888888881E-4</v>
      </c>
      <c r="M20">
        <f t="shared" si="8"/>
        <v>1.6340138888888877E-5</v>
      </c>
      <c r="N20">
        <f t="shared" si="9"/>
        <v>-1.429762152777777E-6</v>
      </c>
      <c r="O20">
        <f t="shared" si="10"/>
        <v>1.1120372299382708E-7</v>
      </c>
      <c r="P20">
        <f t="shared" si="11"/>
        <v>-7.7842606095678963E-9</v>
      </c>
      <c r="Q20">
        <f t="shared" si="12"/>
        <v>4.953620387906842E-10</v>
      </c>
      <c r="R20">
        <f t="shared" si="13"/>
        <v>-2.8896118929456574E-11</v>
      </c>
      <c r="S20">
        <f t="shared" si="14"/>
        <v>1.555944865432277E-12</v>
      </c>
      <c r="T20">
        <f t="shared" si="15"/>
        <v>-7.7797243271613851E-14</v>
      </c>
      <c r="U20">
        <f t="shared" si="16"/>
        <v>3.6305380193419792E-15</v>
      </c>
      <c r="V20">
        <f t="shared" si="17"/>
        <v>-1.5883603834621159E-16</v>
      </c>
      <c r="W20">
        <f t="shared" si="18"/>
        <v>6.540307461314594E-18</v>
      </c>
      <c r="X20">
        <f t="shared" si="19"/>
        <v>-2.5434529016223418E-19</v>
      </c>
      <c r="Y20">
        <f t="shared" si="20"/>
        <v>9.3706159533454701E-21</v>
      </c>
      <c r="Z20">
        <f t="shared" si="21"/>
        <v>-3.2797155836709143E-22</v>
      </c>
    </row>
    <row r="21" spans="2:26" x14ac:dyDescent="0.25">
      <c r="B21">
        <v>0.8</v>
      </c>
      <c r="C21">
        <f t="shared" si="2"/>
        <v>0.58778666490211906</v>
      </c>
      <c r="D21" s="5">
        <f t="shared" si="22"/>
        <v>3.7115629019340513E-2</v>
      </c>
      <c r="E21" s="5">
        <f t="shared" si="23"/>
        <v>6.3144727901442238E-2</v>
      </c>
      <c r="F21">
        <f>SUM(G21:Z21)</f>
        <v>0.55067103588277855</v>
      </c>
      <c r="G21">
        <f>B21/1</f>
        <v>0.8</v>
      </c>
      <c r="H21">
        <f t="shared" si="3"/>
        <v>-0.32000000000000006</v>
      </c>
      <c r="I21">
        <f t="shared" si="4"/>
        <v>8.5333333333333358E-2</v>
      </c>
      <c r="J21">
        <f t="shared" si="5"/>
        <v>-1.7066666666666674E-2</v>
      </c>
      <c r="K21">
        <f t="shared" si="6"/>
        <v>2.7306666666666681E-3</v>
      </c>
      <c r="L21">
        <f t="shared" si="7"/>
        <v>-3.6408888888888908E-4</v>
      </c>
      <c r="M21">
        <f t="shared" si="8"/>
        <v>4.161015873015876E-5</v>
      </c>
      <c r="N21">
        <f t="shared" si="9"/>
        <v>-4.1610158730158767E-6</v>
      </c>
      <c r="O21">
        <f t="shared" si="10"/>
        <v>3.6986807760141126E-7</v>
      </c>
      <c r="P21">
        <f t="shared" si="11"/>
        <v>-2.9589446208112906E-8</v>
      </c>
      <c r="Q21">
        <f t="shared" si="12"/>
        <v>2.1519597242263934E-9</v>
      </c>
      <c r="R21">
        <f t="shared" si="13"/>
        <v>-1.4346398161509293E-10</v>
      </c>
      <c r="S21">
        <f t="shared" si="14"/>
        <v>8.8285527147749498E-12</v>
      </c>
      <c r="T21">
        <f t="shared" si="15"/>
        <v>-5.044887265585685E-13</v>
      </c>
      <c r="U21">
        <f t="shared" si="16"/>
        <v>2.6906065416456996E-14</v>
      </c>
      <c r="V21">
        <f t="shared" si="17"/>
        <v>-1.3453032708228498E-15</v>
      </c>
      <c r="W21">
        <f t="shared" si="18"/>
        <v>6.3308389215192934E-17</v>
      </c>
      <c r="X21">
        <f t="shared" si="19"/>
        <v>-2.8137061873419084E-18</v>
      </c>
      <c r="Y21">
        <f t="shared" si="20"/>
        <v>1.1847183946702773E-19</v>
      </c>
      <c r="Z21">
        <f t="shared" si="21"/>
        <v>-4.738873578681111E-21</v>
      </c>
    </row>
    <row r="22" spans="2:26" x14ac:dyDescent="0.25">
      <c r="B22">
        <v>0.9</v>
      </c>
      <c r="C22">
        <f t="shared" si="2"/>
        <v>0.64185388617239469</v>
      </c>
      <c r="D22" s="5">
        <f t="shared" si="22"/>
        <v>4.8423545912993915E-2</v>
      </c>
      <c r="E22" s="5">
        <f t="shared" si="23"/>
        <v>7.5443254229963327E-2</v>
      </c>
      <c r="F22">
        <f>SUM(G22:Z22)</f>
        <v>0.59343034025940078</v>
      </c>
      <c r="G22">
        <f>B22/1</f>
        <v>0.9</v>
      </c>
      <c r="H22">
        <f t="shared" si="3"/>
        <v>-0.40500000000000003</v>
      </c>
      <c r="I22">
        <f t="shared" si="4"/>
        <v>0.12150000000000001</v>
      </c>
      <c r="J22">
        <f t="shared" si="5"/>
        <v>-2.7337500000000004E-2</v>
      </c>
      <c r="K22">
        <f t="shared" si="6"/>
        <v>4.9207500000000015E-3</v>
      </c>
      <c r="L22">
        <f t="shared" si="7"/>
        <v>-7.3811250000000025E-4</v>
      </c>
      <c r="M22">
        <f t="shared" si="8"/>
        <v>9.4900178571428602E-5</v>
      </c>
      <c r="N22">
        <f t="shared" si="9"/>
        <v>-1.0676270089285719E-5</v>
      </c>
      <c r="O22">
        <f t="shared" si="10"/>
        <v>1.0676270089285718E-6</v>
      </c>
      <c r="P22">
        <f t="shared" si="11"/>
        <v>-9.6086430803571477E-8</v>
      </c>
      <c r="Q22">
        <f t="shared" si="12"/>
        <v>7.8616170657467568E-9</v>
      </c>
      <c r="R22">
        <f t="shared" si="13"/>
        <v>-5.8962127993100682E-10</v>
      </c>
      <c r="S22">
        <f t="shared" si="14"/>
        <v>4.0819934764454326E-11</v>
      </c>
      <c r="T22">
        <f t="shared" si="15"/>
        <v>-2.6241386634292064E-12</v>
      </c>
      <c r="U22">
        <f t="shared" si="16"/>
        <v>1.5744831980575238E-13</v>
      </c>
      <c r="V22">
        <f t="shared" si="17"/>
        <v>-8.8564679890735725E-15</v>
      </c>
      <c r="W22">
        <f t="shared" si="18"/>
        <v>4.6887183471565975E-16</v>
      </c>
      <c r="X22">
        <f t="shared" si="19"/>
        <v>-2.3443591735782985E-17</v>
      </c>
      <c r="Y22">
        <f t="shared" si="20"/>
        <v>1.1104859243265627E-18</v>
      </c>
      <c r="Z22">
        <f t="shared" si="21"/>
        <v>-4.9971866594695325E-20</v>
      </c>
    </row>
    <row r="23" spans="2:26" x14ac:dyDescent="0.25">
      <c r="B23">
        <v>1</v>
      </c>
      <c r="C23">
        <f t="shared" si="2"/>
        <v>0.69314718055994529</v>
      </c>
      <c r="D23" s="5">
        <f t="shared" si="22"/>
        <v>6.1026621731387509E-2</v>
      </c>
      <c r="E23" s="6">
        <f t="shared" si="23"/>
        <v>8.8042804534079408E-2</v>
      </c>
      <c r="F23">
        <f>SUM(G23:Z23)</f>
        <v>0.63212055882855778</v>
      </c>
      <c r="G23">
        <f>B23/1</f>
        <v>1</v>
      </c>
      <c r="H23">
        <f t="shared" si="3"/>
        <v>-0.5</v>
      </c>
      <c r="I23">
        <f t="shared" si="4"/>
        <v>0.16666666666666666</v>
      </c>
      <c r="J23">
        <f t="shared" si="5"/>
        <v>-4.1666666666666664E-2</v>
      </c>
      <c r="K23">
        <f t="shared" si="6"/>
        <v>8.3333333333333332E-3</v>
      </c>
      <c r="L23">
        <f t="shared" si="7"/>
        <v>-1.3888888888888889E-3</v>
      </c>
      <c r="M23">
        <f t="shared" si="8"/>
        <v>1.9841269841269841E-4</v>
      </c>
      <c r="N23">
        <f t="shared" si="9"/>
        <v>-2.4801587301587302E-5</v>
      </c>
      <c r="O23">
        <f t="shared" si="10"/>
        <v>2.7557319223985893E-6</v>
      </c>
      <c r="P23">
        <f t="shared" si="11"/>
        <v>-2.7557319223985888E-7</v>
      </c>
      <c r="Q23">
        <f t="shared" si="12"/>
        <v>2.505210838544172E-8</v>
      </c>
      <c r="R23">
        <f t="shared" si="13"/>
        <v>-2.08767569878681E-9</v>
      </c>
      <c r="S23">
        <f t="shared" si="14"/>
        <v>1.6059043836821613E-10</v>
      </c>
      <c r="T23">
        <f t="shared" si="15"/>
        <v>-1.1470745597729725E-11</v>
      </c>
      <c r="U23">
        <f t="shared" si="16"/>
        <v>7.6471637318198164E-13</v>
      </c>
      <c r="V23">
        <f t="shared" si="17"/>
        <v>-4.7794773323873853E-14</v>
      </c>
      <c r="W23">
        <f t="shared" si="18"/>
        <v>2.8114572543455206E-15</v>
      </c>
      <c r="X23">
        <f t="shared" si="19"/>
        <v>-1.5619206968586225E-16</v>
      </c>
      <c r="Y23">
        <f t="shared" si="20"/>
        <v>8.2206352466243295E-18</v>
      </c>
      <c r="Z23">
        <f t="shared" si="21"/>
        <v>-4.1103176233121648E-19</v>
      </c>
    </row>
    <row r="24" spans="2:26" x14ac:dyDescent="0.25">
      <c r="B24">
        <v>1.1000000000000001</v>
      </c>
      <c r="C24">
        <f t="shared" si="2"/>
        <v>0.74193734472937733</v>
      </c>
      <c r="D24" s="5">
        <f t="shared" si="22"/>
        <v>7.4808428427456719E-2</v>
      </c>
      <c r="E24" s="6">
        <f t="shared" si="23"/>
        <v>0.10082849846942696</v>
      </c>
      <c r="F24">
        <f>SUM(G24:Z24)</f>
        <v>0.66712891630192062</v>
      </c>
      <c r="G24">
        <f>B24/1</f>
        <v>1.1000000000000001</v>
      </c>
      <c r="H24">
        <f t="shared" si="3"/>
        <v>-0.60500000000000009</v>
      </c>
      <c r="I24">
        <f t="shared" si="4"/>
        <v>0.22183333333333341</v>
      </c>
      <c r="J24">
        <f t="shared" si="5"/>
        <v>-6.1004166666666686E-2</v>
      </c>
      <c r="K24">
        <f t="shared" si="6"/>
        <v>1.3420916666666671E-2</v>
      </c>
      <c r="L24">
        <f t="shared" si="7"/>
        <v>-2.4605013888888902E-3</v>
      </c>
      <c r="M24">
        <f t="shared" si="8"/>
        <v>3.8665021825396849E-4</v>
      </c>
      <c r="N24">
        <f t="shared" si="9"/>
        <v>-5.3164405009920662E-5</v>
      </c>
      <c r="O24">
        <f t="shared" si="10"/>
        <v>6.4978717234347482E-6</v>
      </c>
      <c r="P24">
        <f t="shared" si="11"/>
        <v>-7.1476588957782243E-7</v>
      </c>
      <c r="Q24">
        <f t="shared" si="12"/>
        <v>7.1476588957782253E-8</v>
      </c>
      <c r="R24">
        <f t="shared" si="13"/>
        <v>-6.5520206544633728E-9</v>
      </c>
      <c r="S24">
        <f t="shared" si="14"/>
        <v>5.5440174768536233E-10</v>
      </c>
      <c r="T24">
        <f t="shared" si="15"/>
        <v>-4.3560137318135619E-11</v>
      </c>
      <c r="U24">
        <f t="shared" si="16"/>
        <v>3.1944100699966118E-12</v>
      </c>
      <c r="V24">
        <f t="shared" si="17"/>
        <v>-2.1961569231226709E-13</v>
      </c>
      <c r="W24">
        <f t="shared" si="18"/>
        <v>1.4210427149617282E-14</v>
      </c>
      <c r="X24">
        <f t="shared" si="19"/>
        <v>-8.6841499247661179E-16</v>
      </c>
      <c r="Y24">
        <f t="shared" si="20"/>
        <v>5.0276657459172268E-17</v>
      </c>
      <c r="Z24">
        <f t="shared" si="21"/>
        <v>-2.7652161602544748E-18</v>
      </c>
    </row>
    <row r="25" spans="2:26" x14ac:dyDescent="0.25">
      <c r="B25">
        <v>1.2</v>
      </c>
      <c r="C25">
        <f t="shared" si="2"/>
        <v>0.78845736036427028</v>
      </c>
      <c r="D25" s="5">
        <f t="shared" si="22"/>
        <v>8.9651572276472358E-2</v>
      </c>
      <c r="E25" s="6">
        <f t="shared" si="23"/>
        <v>0.11370503565982693</v>
      </c>
      <c r="F25">
        <f>SUM(G25:Z25)</f>
        <v>0.69880578808779792</v>
      </c>
      <c r="G25">
        <f>B25/1</f>
        <v>1.2</v>
      </c>
      <c r="H25">
        <f t="shared" si="3"/>
        <v>-0.72</v>
      </c>
      <c r="I25">
        <f t="shared" si="4"/>
        <v>0.28799999999999998</v>
      </c>
      <c r="J25">
        <f t="shared" si="5"/>
        <v>-8.6399999999999991E-2</v>
      </c>
      <c r="K25">
        <f t="shared" si="6"/>
        <v>2.0735999999999997E-2</v>
      </c>
      <c r="L25">
        <f t="shared" si="7"/>
        <v>-4.1471999999999993E-3</v>
      </c>
      <c r="M25">
        <f t="shared" si="8"/>
        <v>7.1094857142857133E-4</v>
      </c>
      <c r="N25">
        <f t="shared" si="9"/>
        <v>-1.066422857142857E-4</v>
      </c>
      <c r="O25">
        <f t="shared" si="10"/>
        <v>1.4218971428571427E-5</v>
      </c>
      <c r="P25">
        <f t="shared" si="11"/>
        <v>-1.7062765714285713E-6</v>
      </c>
      <c r="Q25">
        <f t="shared" si="12"/>
        <v>1.8613926233766229E-7</v>
      </c>
      <c r="R25">
        <f t="shared" si="13"/>
        <v>-1.8613926233766231E-8</v>
      </c>
      <c r="S25">
        <f t="shared" si="14"/>
        <v>1.718208575424575E-9</v>
      </c>
      <c r="T25">
        <f t="shared" si="15"/>
        <v>-1.4727502075067786E-10</v>
      </c>
      <c r="U25">
        <f t="shared" si="16"/>
        <v>1.1782001660054229E-11</v>
      </c>
      <c r="V25">
        <f t="shared" si="17"/>
        <v>-8.83650124504067E-13</v>
      </c>
      <c r="W25">
        <f t="shared" si="18"/>
        <v>6.237530290616944E-14</v>
      </c>
      <c r="X25">
        <f t="shared" si="19"/>
        <v>-4.1583535270779625E-15</v>
      </c>
      <c r="Y25">
        <f t="shared" si="20"/>
        <v>2.6263285434176605E-16</v>
      </c>
      <c r="Z25">
        <f t="shared" si="21"/>
        <v>-1.5757971260505964E-17</v>
      </c>
    </row>
    <row r="26" spans="2:26" x14ac:dyDescent="0.25">
      <c r="B26">
        <v>1.3</v>
      </c>
      <c r="C26">
        <f t="shared" si="2"/>
        <v>0.83290912293510388</v>
      </c>
      <c r="D26" s="5">
        <f t="shared" si="22"/>
        <v>0.10544091596911631</v>
      </c>
      <c r="E26" s="6">
        <f t="shared" si="23"/>
        <v>0.12659354191913652</v>
      </c>
      <c r="F26">
        <f>SUM(G26:Z26)</f>
        <v>0.72746820696598757</v>
      </c>
      <c r="G26">
        <f>B26/1</f>
        <v>1.3</v>
      </c>
      <c r="H26">
        <f t="shared" si="3"/>
        <v>-0.84500000000000008</v>
      </c>
      <c r="I26">
        <f t="shared" si="4"/>
        <v>0.36616666666666675</v>
      </c>
      <c r="J26">
        <f t="shared" si="5"/>
        <v>-0.11900416666666669</v>
      </c>
      <c r="K26">
        <f t="shared" si="6"/>
        <v>3.0941083333333341E-2</v>
      </c>
      <c r="L26">
        <f t="shared" si="7"/>
        <v>-6.7039013888888915E-3</v>
      </c>
      <c r="M26">
        <f t="shared" si="8"/>
        <v>1.2450102579365085E-3</v>
      </c>
      <c r="N26">
        <f t="shared" si="9"/>
        <v>-2.0231416691468261E-4</v>
      </c>
      <c r="O26">
        <f t="shared" si="10"/>
        <v>2.9223157443231932E-5</v>
      </c>
      <c r="P26">
        <f t="shared" si="11"/>
        <v>-3.7990104676201513E-6</v>
      </c>
      <c r="Q26">
        <f t="shared" si="12"/>
        <v>4.4897396435510883E-7</v>
      </c>
      <c r="R26">
        <f t="shared" si="13"/>
        <v>-4.8638846138470127E-8</v>
      </c>
      <c r="S26">
        <f t="shared" si="14"/>
        <v>4.8638846138470136E-9</v>
      </c>
      <c r="T26">
        <f t="shared" si="15"/>
        <v>-4.5164642842865122E-10</v>
      </c>
      <c r="U26">
        <f t="shared" si="16"/>
        <v>3.9142690463816444E-11</v>
      </c>
      <c r="V26">
        <f t="shared" si="17"/>
        <v>-3.1803436001850859E-12</v>
      </c>
      <c r="W26">
        <f t="shared" si="18"/>
        <v>2.4320274589650656E-13</v>
      </c>
      <c r="X26">
        <f t="shared" si="19"/>
        <v>-1.7564642759192143E-14</v>
      </c>
      <c r="Y26">
        <f t="shared" si="20"/>
        <v>1.201791346681568E-15</v>
      </c>
      <c r="Z26">
        <f t="shared" si="21"/>
        <v>-7.8116437534301904E-17</v>
      </c>
    </row>
    <row r="27" spans="2:26" x14ac:dyDescent="0.25">
      <c r="B27">
        <v>1.4</v>
      </c>
      <c r="C27">
        <f t="shared" si="2"/>
        <v>0.87546873735389985</v>
      </c>
      <c r="D27" s="5">
        <f t="shared" si="22"/>
        <v>0.12206570129550631</v>
      </c>
      <c r="E27" s="6">
        <f t="shared" si="23"/>
        <v>0.13942896654933598</v>
      </c>
      <c r="F27">
        <f>SUM(G27:Z27)</f>
        <v>0.75340303605839354</v>
      </c>
      <c r="G27">
        <f>B27/1</f>
        <v>1.4</v>
      </c>
      <c r="H27">
        <f t="shared" si="3"/>
        <v>-0.97999999999999987</v>
      </c>
      <c r="I27">
        <f t="shared" si="4"/>
        <v>0.4573333333333332</v>
      </c>
      <c r="J27">
        <f t="shared" si="5"/>
        <v>-0.16006666666666661</v>
      </c>
      <c r="K27">
        <f t="shared" si="6"/>
        <v>4.4818666666666652E-2</v>
      </c>
      <c r="L27">
        <f t="shared" si="7"/>
        <v>-1.0457688888888884E-2</v>
      </c>
      <c r="M27">
        <f t="shared" si="8"/>
        <v>2.0915377777777763E-3</v>
      </c>
      <c r="N27">
        <f t="shared" si="9"/>
        <v>-3.6601911111111091E-4</v>
      </c>
      <c r="O27">
        <f t="shared" si="10"/>
        <v>5.6936306172839467E-5</v>
      </c>
      <c r="P27">
        <f t="shared" si="11"/>
        <v>-7.9710828641975259E-6</v>
      </c>
      <c r="Q27">
        <f t="shared" si="12"/>
        <v>1.0145014554433212E-6</v>
      </c>
      <c r="R27">
        <f t="shared" si="13"/>
        <v>-1.1835850313505413E-7</v>
      </c>
      <c r="S27">
        <f t="shared" si="14"/>
        <v>1.2746300337621213E-8</v>
      </c>
      <c r="T27">
        <f t="shared" si="15"/>
        <v>-1.2746300337621213E-9</v>
      </c>
      <c r="U27">
        <f t="shared" si="16"/>
        <v>1.1896546981779797E-10</v>
      </c>
      <c r="V27">
        <f t="shared" si="17"/>
        <v>-1.0409478609057323E-11</v>
      </c>
      <c r="W27">
        <f t="shared" si="18"/>
        <v>8.5725117956942646E-13</v>
      </c>
      <c r="X27">
        <f t="shared" si="19"/>
        <v>-6.6675091744288718E-14</v>
      </c>
      <c r="Y27">
        <f t="shared" si="20"/>
        <v>4.9129014969475898E-15</v>
      </c>
      <c r="Z27">
        <f t="shared" si="21"/>
        <v>-3.4390310478633127E-16</v>
      </c>
    </row>
    <row r="28" spans="2:26" x14ac:dyDescent="0.25">
      <c r="B28">
        <v>1.5</v>
      </c>
      <c r="C28">
        <f t="shared" si="2"/>
        <v>0.91629073187415511</v>
      </c>
      <c r="D28" s="5">
        <f t="shared" si="22"/>
        <v>0.13942089202258512</v>
      </c>
      <c r="E28" s="6">
        <f t="shared" si="23"/>
        <v>0.15215792015861337</v>
      </c>
      <c r="F28">
        <f>SUM(G28:Z28)</f>
        <v>0.77686983985156999</v>
      </c>
      <c r="G28">
        <f>B28/1</f>
        <v>1.5</v>
      </c>
      <c r="H28">
        <f t="shared" si="3"/>
        <v>-1.125</v>
      </c>
      <c r="I28">
        <f t="shared" si="4"/>
        <v>0.5625</v>
      </c>
      <c r="J28">
        <f t="shared" si="5"/>
        <v>-0.2109375</v>
      </c>
      <c r="K28">
        <f t="shared" si="6"/>
        <v>6.3281249999999997E-2</v>
      </c>
      <c r="L28">
        <f t="shared" si="7"/>
        <v>-1.5820312499999999E-2</v>
      </c>
      <c r="M28">
        <f t="shared" si="8"/>
        <v>3.3900669642857144E-3</v>
      </c>
      <c r="N28">
        <f t="shared" si="9"/>
        <v>-6.3563755580357145E-4</v>
      </c>
      <c r="O28">
        <f t="shared" si="10"/>
        <v>1.0593959263392857E-4</v>
      </c>
      <c r="P28">
        <f t="shared" si="11"/>
        <v>-1.5890938895089285E-5</v>
      </c>
      <c r="Q28">
        <f t="shared" si="12"/>
        <v>2.1669462129667207E-6</v>
      </c>
      <c r="R28">
        <f t="shared" si="13"/>
        <v>-2.7086827662084009E-7</v>
      </c>
      <c r="S28">
        <f t="shared" si="14"/>
        <v>3.1254031917789239E-8</v>
      </c>
      <c r="T28">
        <f t="shared" si="15"/>
        <v>-3.34864627690599E-9</v>
      </c>
      <c r="U28">
        <f t="shared" si="16"/>
        <v>3.3486462769059901E-10</v>
      </c>
      <c r="V28">
        <f t="shared" si="17"/>
        <v>-3.1393558845993659E-11</v>
      </c>
      <c r="W28">
        <f t="shared" si="18"/>
        <v>2.7700198981759111E-12</v>
      </c>
      <c r="X28">
        <f t="shared" si="19"/>
        <v>-2.3083499151465924E-13</v>
      </c>
      <c r="Y28">
        <f t="shared" si="20"/>
        <v>1.8223815119578361E-14</v>
      </c>
      <c r="Z28">
        <f t="shared" si="21"/>
        <v>-1.3667861339683772E-15</v>
      </c>
    </row>
    <row r="29" spans="2:26" x14ac:dyDescent="0.25">
      <c r="B29">
        <v>1.6</v>
      </c>
      <c r="C29">
        <f t="shared" si="2"/>
        <v>0.95551144502743635</v>
      </c>
      <c r="D29" s="5">
        <f t="shared" si="22"/>
        <v>0.15740796302209215</v>
      </c>
      <c r="E29" s="6">
        <f t="shared" si="23"/>
        <v>0.16473686824083239</v>
      </c>
      <c r="F29">
        <f>SUM(G29:Z29)</f>
        <v>0.7981034820053442</v>
      </c>
      <c r="G29">
        <f>B29/1</f>
        <v>1.6</v>
      </c>
      <c r="H29">
        <f t="shared" si="3"/>
        <v>-1.2800000000000002</v>
      </c>
      <c r="I29">
        <f t="shared" si="4"/>
        <v>0.68266666666666687</v>
      </c>
      <c r="J29">
        <f t="shared" si="5"/>
        <v>-0.27306666666666679</v>
      </c>
      <c r="K29">
        <f t="shared" si="6"/>
        <v>8.738133333333338E-2</v>
      </c>
      <c r="L29">
        <f t="shared" si="7"/>
        <v>-2.3301688888888901E-2</v>
      </c>
      <c r="M29">
        <f t="shared" si="8"/>
        <v>5.3261003174603213E-3</v>
      </c>
      <c r="N29">
        <f t="shared" si="9"/>
        <v>-1.0652200634920644E-3</v>
      </c>
      <c r="O29">
        <f t="shared" si="10"/>
        <v>1.8937245573192257E-4</v>
      </c>
      <c r="P29">
        <f t="shared" si="11"/>
        <v>-3.0299592917107616E-5</v>
      </c>
      <c r="Q29">
        <f t="shared" si="12"/>
        <v>4.4072135152156537E-6</v>
      </c>
      <c r="R29">
        <f t="shared" si="13"/>
        <v>-5.8762846869542064E-7</v>
      </c>
      <c r="S29">
        <f t="shared" si="14"/>
        <v>7.2323503839436389E-8</v>
      </c>
      <c r="T29">
        <f t="shared" si="15"/>
        <v>-8.2655432959355862E-9</v>
      </c>
      <c r="U29">
        <f t="shared" si="16"/>
        <v>8.8165795156646284E-10</v>
      </c>
      <c r="V29">
        <f t="shared" si="17"/>
        <v>-8.8165795156646282E-11</v>
      </c>
      <c r="W29">
        <f t="shared" si="18"/>
        <v>8.2979571912137682E-12</v>
      </c>
      <c r="X29">
        <f t="shared" si="19"/>
        <v>-7.3759619477455723E-13</v>
      </c>
      <c r="Y29">
        <f t="shared" si="20"/>
        <v>6.2113363770489036E-14</v>
      </c>
      <c r="Z29">
        <f t="shared" si="21"/>
        <v>-4.9690691016391246E-15</v>
      </c>
    </row>
    <row r="30" spans="2:26" x14ac:dyDescent="0.25">
      <c r="B30">
        <v>1.7</v>
      </c>
      <c r="C30">
        <f t="shared" si="2"/>
        <v>0.99325177301028345</v>
      </c>
      <c r="D30" s="5">
        <f t="shared" si="22"/>
        <v>0.17593529706301925</v>
      </c>
      <c r="E30" s="6">
        <f t="shared" si="23"/>
        <v>0.17713061465755645</v>
      </c>
      <c r="F30">
        <f>SUM(G30:Z30)</f>
        <v>0.8173164759472642</v>
      </c>
      <c r="G30">
        <f>B30/1</f>
        <v>1.7</v>
      </c>
      <c r="H30">
        <f t="shared" si="3"/>
        <v>-1.4449999999999998</v>
      </c>
      <c r="I30">
        <f t="shared" si="4"/>
        <v>0.81883333333333319</v>
      </c>
      <c r="J30">
        <f t="shared" si="5"/>
        <v>-0.34800416666666661</v>
      </c>
      <c r="K30">
        <f t="shared" si="6"/>
        <v>0.11832141666666664</v>
      </c>
      <c r="L30">
        <f t="shared" si="7"/>
        <v>-3.3524401388888875E-2</v>
      </c>
      <c r="M30">
        <f t="shared" si="8"/>
        <v>8.1416403373015846E-3</v>
      </c>
      <c r="N30">
        <f t="shared" si="9"/>
        <v>-1.7300985716765867E-3</v>
      </c>
      <c r="O30">
        <f t="shared" si="10"/>
        <v>3.2679639687224413E-4</v>
      </c>
      <c r="P30">
        <f t="shared" si="11"/>
        <v>-5.5555387468281499E-5</v>
      </c>
      <c r="Q30">
        <f t="shared" si="12"/>
        <v>8.5858326087344129E-6</v>
      </c>
      <c r="R30">
        <f t="shared" si="13"/>
        <v>-1.2163262862373752E-6</v>
      </c>
      <c r="S30">
        <f t="shared" si="14"/>
        <v>1.5905805281565675E-7</v>
      </c>
      <c r="T30">
        <f t="shared" si="15"/>
        <v>-1.9314192127615461E-8</v>
      </c>
      <c r="U30">
        <f t="shared" si="16"/>
        <v>2.1889417744630852E-9</v>
      </c>
      <c r="V30">
        <f t="shared" si="17"/>
        <v>-2.3257506353670284E-10</v>
      </c>
      <c r="W30">
        <f t="shared" si="18"/>
        <v>2.3257506353670283E-11</v>
      </c>
      <c r="X30">
        <f t="shared" si="19"/>
        <v>-2.1965422667355266E-12</v>
      </c>
      <c r="Y30">
        <f t="shared" si="20"/>
        <v>1.9653272912896816E-13</v>
      </c>
      <c r="Z30">
        <f t="shared" si="21"/>
        <v>-1.6705281975962294E-14</v>
      </c>
    </row>
    <row r="31" spans="2:26" x14ac:dyDescent="0.25">
      <c r="B31">
        <v>1.8</v>
      </c>
      <c r="C31">
        <f t="shared" si="2"/>
        <v>1.0296194171811581</v>
      </c>
      <c r="D31" s="5">
        <f t="shared" si="22"/>
        <v>0.1949183054027489</v>
      </c>
      <c r="E31" s="6">
        <f t="shared" si="23"/>
        <v>0.1893110232287448</v>
      </c>
      <c r="F31">
        <f>SUM(G31:Z31)</f>
        <v>0.83470111177840922</v>
      </c>
      <c r="G31">
        <f>B31/1</f>
        <v>1.8</v>
      </c>
      <c r="H31">
        <f t="shared" si="3"/>
        <v>-1.62</v>
      </c>
      <c r="I31">
        <f t="shared" si="4"/>
        <v>0.97200000000000009</v>
      </c>
      <c r="J31">
        <f t="shared" si="5"/>
        <v>-0.43740000000000007</v>
      </c>
      <c r="K31">
        <f t="shared" si="6"/>
        <v>0.15746400000000005</v>
      </c>
      <c r="L31">
        <f t="shared" si="7"/>
        <v>-4.7239200000000016E-2</v>
      </c>
      <c r="M31">
        <f t="shared" si="8"/>
        <v>1.2147222857142861E-2</v>
      </c>
      <c r="N31">
        <f t="shared" si="9"/>
        <v>-2.733125142857144E-3</v>
      </c>
      <c r="O31">
        <f t="shared" si="10"/>
        <v>5.4662502857142877E-4</v>
      </c>
      <c r="P31">
        <f t="shared" si="11"/>
        <v>-9.8392505142857193E-5</v>
      </c>
      <c r="Q31">
        <f t="shared" si="12"/>
        <v>1.6100591750649358E-5</v>
      </c>
      <c r="R31">
        <f t="shared" si="13"/>
        <v>-2.4150887625974039E-6</v>
      </c>
      <c r="S31">
        <f t="shared" si="14"/>
        <v>3.3439690559040984E-7</v>
      </c>
      <c r="T31">
        <f t="shared" si="15"/>
        <v>-4.2993887861624117E-8</v>
      </c>
      <c r="U31">
        <f t="shared" si="16"/>
        <v>5.159266543394894E-9</v>
      </c>
      <c r="V31">
        <f t="shared" si="17"/>
        <v>-5.8041748613192565E-10</v>
      </c>
      <c r="W31">
        <f t="shared" si="18"/>
        <v>6.1455969119850955E-11</v>
      </c>
      <c r="X31">
        <f t="shared" si="19"/>
        <v>-6.1455969119850948E-12</v>
      </c>
      <c r="Y31">
        <f t="shared" si="20"/>
        <v>5.8221444429332492E-13</v>
      </c>
      <c r="Z31">
        <f t="shared" si="21"/>
        <v>-5.2399299986399245E-14</v>
      </c>
    </row>
    <row r="32" spans="2:26" x14ac:dyDescent="0.25">
      <c r="B32">
        <v>1.9</v>
      </c>
      <c r="C32">
        <f t="shared" si="2"/>
        <v>1.0647107369924282</v>
      </c>
      <c r="D32" s="5">
        <f t="shared" si="22"/>
        <v>0.21427935621507632</v>
      </c>
      <c r="E32" s="6">
        <f t="shared" si="23"/>
        <v>0.20125593625585855</v>
      </c>
      <c r="F32">
        <f>SUM(G32:Z32)</f>
        <v>0.85043138077735192</v>
      </c>
      <c r="G32">
        <f>B32/1</f>
        <v>1.9</v>
      </c>
      <c r="H32">
        <f t="shared" si="3"/>
        <v>-1.8049999999999999</v>
      </c>
      <c r="I32">
        <f t="shared" si="4"/>
        <v>1.1431666666666664</v>
      </c>
      <c r="J32">
        <f t="shared" si="5"/>
        <v>-0.54300416666666662</v>
      </c>
      <c r="K32">
        <f t="shared" si="6"/>
        <v>0.20634158333333333</v>
      </c>
      <c r="L32">
        <f t="shared" si="7"/>
        <v>-6.5341501388888876E-2</v>
      </c>
      <c r="M32">
        <f t="shared" si="8"/>
        <v>1.7735550376984127E-2</v>
      </c>
      <c r="N32">
        <f t="shared" si="9"/>
        <v>-4.2121932145337297E-3</v>
      </c>
      <c r="O32">
        <f t="shared" si="10"/>
        <v>8.8924078973489848E-4</v>
      </c>
      <c r="P32">
        <f t="shared" si="11"/>
        <v>-1.6895575004963073E-4</v>
      </c>
      <c r="Q32">
        <f t="shared" si="12"/>
        <v>2.9183265917663487E-5</v>
      </c>
      <c r="R32">
        <f t="shared" si="13"/>
        <v>-4.6206837702967189E-6</v>
      </c>
      <c r="S32">
        <f t="shared" si="14"/>
        <v>6.7533070488952045E-7</v>
      </c>
      <c r="T32">
        <f t="shared" si="15"/>
        <v>-9.165202423500634E-8</v>
      </c>
      <c r="U32">
        <f t="shared" si="16"/>
        <v>1.1609256403100803E-8</v>
      </c>
      <c r="V32">
        <f t="shared" si="17"/>
        <v>-1.3785991978682205E-9</v>
      </c>
      <c r="W32">
        <f t="shared" si="18"/>
        <v>1.5407873387938934E-10</v>
      </c>
      <c r="X32">
        <f t="shared" si="19"/>
        <v>-1.6263866353935539E-11</v>
      </c>
      <c r="Y32">
        <f t="shared" si="20"/>
        <v>1.6263866353935541E-12</v>
      </c>
      <c r="Z32">
        <f t="shared" si="21"/>
        <v>-1.5450673036238764E-13</v>
      </c>
    </row>
    <row r="33" spans="2:26" x14ac:dyDescent="0.25">
      <c r="B33">
        <v>10</v>
      </c>
      <c r="C33">
        <f t="shared" si="2"/>
        <v>2.3978952727983707</v>
      </c>
      <c r="D33" s="5">
        <f t="shared" si="22"/>
        <v>14.794761268494083</v>
      </c>
      <c r="E33" s="6">
        <f t="shared" si="23"/>
        <v>6.1698946723509032</v>
      </c>
      <c r="F33">
        <f>SUM(G33:Z33)</f>
        <v>-12.396865995695713</v>
      </c>
      <c r="G33">
        <f>B33/1</f>
        <v>10</v>
      </c>
      <c r="H33">
        <f t="shared" si="3"/>
        <v>-50</v>
      </c>
      <c r="I33">
        <f t="shared" si="4"/>
        <v>166.66666666666666</v>
      </c>
      <c r="J33">
        <f t="shared" si="5"/>
        <v>-416.66666666666669</v>
      </c>
      <c r="K33">
        <f t="shared" si="6"/>
        <v>833.33333333333337</v>
      </c>
      <c r="L33">
        <f t="shared" si="7"/>
        <v>-1388.8888888888889</v>
      </c>
      <c r="M33">
        <f t="shared" si="8"/>
        <v>1984.1269841269841</v>
      </c>
      <c r="N33">
        <f t="shared" si="9"/>
        <v>-2480.1587301587301</v>
      </c>
      <c r="O33">
        <f t="shared" si="10"/>
        <v>2755.7319223985892</v>
      </c>
      <c r="P33">
        <f t="shared" si="11"/>
        <v>-2755.7319223985892</v>
      </c>
      <c r="Q33">
        <f t="shared" si="12"/>
        <v>2505.210838544172</v>
      </c>
      <c r="R33">
        <f t="shared" si="13"/>
        <v>-2087.6756987868098</v>
      </c>
      <c r="S33">
        <f t="shared" si="14"/>
        <v>1605.9043836821616</v>
      </c>
      <c r="T33">
        <f t="shared" si="15"/>
        <v>-1147.0745597729724</v>
      </c>
      <c r="U33">
        <f t="shared" si="16"/>
        <v>764.71637318198168</v>
      </c>
      <c r="V33">
        <f t="shared" si="17"/>
        <v>-477.94773323873852</v>
      </c>
      <c r="W33">
        <f t="shared" si="18"/>
        <v>281.14572543455205</v>
      </c>
      <c r="X33">
        <f t="shared" si="19"/>
        <v>-156.19206968586226</v>
      </c>
      <c r="Y33">
        <f t="shared" si="20"/>
        <v>82.206352466243303</v>
      </c>
      <c r="Z33">
        <f t="shared" si="21"/>
        <v>-41.103176233121651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ln(1+x)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2025-12-24T10:46:37Z</dcterms:modified>
</cp:coreProperties>
</file>