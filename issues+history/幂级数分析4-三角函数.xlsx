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6638D5CC-C237-441F-A66E-350FBA0EFD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in(x)" sheetId="3" r:id="rId1"/>
    <sheet name="cos(x)" sheetId="10" r:id="rId2"/>
    <sheet name="tan(x)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3" i="10"/>
  <c r="D24" i="10"/>
  <c r="I24" i="10"/>
  <c r="J24" i="10"/>
  <c r="K24" i="10"/>
  <c r="L24" i="10"/>
  <c r="M24" i="10"/>
  <c r="N24" i="10"/>
  <c r="O24" i="10"/>
  <c r="P24" i="10"/>
  <c r="Q24" i="10"/>
  <c r="R24" i="10"/>
  <c r="D25" i="10"/>
  <c r="I25" i="10"/>
  <c r="J25" i="10"/>
  <c r="K25" i="10"/>
  <c r="L25" i="10"/>
  <c r="M25" i="10"/>
  <c r="N25" i="10"/>
  <c r="O25" i="10"/>
  <c r="P25" i="10"/>
  <c r="Q25" i="10"/>
  <c r="R25" i="10"/>
  <c r="D26" i="10"/>
  <c r="I26" i="10"/>
  <c r="J26" i="10"/>
  <c r="K26" i="10"/>
  <c r="L26" i="10"/>
  <c r="M26" i="10"/>
  <c r="N26" i="10"/>
  <c r="O26" i="10"/>
  <c r="P26" i="10"/>
  <c r="Q26" i="10"/>
  <c r="R26" i="10"/>
  <c r="D27" i="10"/>
  <c r="I27" i="10"/>
  <c r="J27" i="10"/>
  <c r="K27" i="10"/>
  <c r="L27" i="10"/>
  <c r="M27" i="10"/>
  <c r="N27" i="10"/>
  <c r="O27" i="10"/>
  <c r="P27" i="10"/>
  <c r="Q27" i="10"/>
  <c r="R27" i="10"/>
  <c r="C24" i="3"/>
  <c r="C25" i="3"/>
  <c r="D24" i="3"/>
  <c r="H24" i="3"/>
  <c r="I24" i="3"/>
  <c r="J24" i="3"/>
  <c r="K24" i="3"/>
  <c r="L24" i="3"/>
  <c r="M24" i="3"/>
  <c r="N24" i="3"/>
  <c r="O24" i="3"/>
  <c r="P24" i="3"/>
  <c r="Q24" i="3"/>
  <c r="G24" i="3"/>
  <c r="E24" i="3"/>
  <c r="F24" i="3"/>
  <c r="D26" i="3"/>
  <c r="H26" i="3"/>
  <c r="I26" i="3"/>
  <c r="J26" i="3"/>
  <c r="K26" i="3"/>
  <c r="L26" i="3"/>
  <c r="M26" i="3"/>
  <c r="N26" i="3"/>
  <c r="O26" i="3"/>
  <c r="P26" i="3"/>
  <c r="Q26" i="3"/>
  <c r="D27" i="3"/>
  <c r="H27" i="3"/>
  <c r="I27" i="3"/>
  <c r="J27" i="3"/>
  <c r="K27" i="3"/>
  <c r="L27" i="3"/>
  <c r="M27" i="3"/>
  <c r="N27" i="3"/>
  <c r="O27" i="3"/>
  <c r="P27" i="3"/>
  <c r="Q27" i="3"/>
  <c r="D25" i="3"/>
  <c r="H25" i="3"/>
  <c r="I25" i="3"/>
  <c r="J25" i="3"/>
  <c r="K25" i="3"/>
  <c r="L25" i="3"/>
  <c r="M25" i="3"/>
  <c r="N25" i="3"/>
  <c r="O25" i="3"/>
  <c r="P25" i="3"/>
  <c r="Q25" i="3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F24" i="11" s="1"/>
  <c r="I24" i="11"/>
  <c r="J24" i="11"/>
  <c r="K24" i="11"/>
  <c r="G25" i="11"/>
  <c r="F25" i="11" s="1"/>
  <c r="H25" i="11"/>
  <c r="I25" i="11"/>
  <c r="J25" i="11"/>
  <c r="K25" i="11"/>
  <c r="G26" i="11"/>
  <c r="F26" i="11" s="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29" i="11"/>
  <c r="F29" i="11" s="1"/>
  <c r="H29" i="11"/>
  <c r="I29" i="11"/>
  <c r="J29" i="11"/>
  <c r="K29" i="11"/>
  <c r="G30" i="11"/>
  <c r="F30" i="11" s="1"/>
  <c r="H30" i="11"/>
  <c r="I30" i="11"/>
  <c r="J30" i="11"/>
  <c r="K30" i="11"/>
  <c r="G31" i="11"/>
  <c r="F31" i="11" s="1"/>
  <c r="H31" i="11"/>
  <c r="I31" i="11"/>
  <c r="J31" i="11"/>
  <c r="K31" i="11"/>
  <c r="G32" i="11"/>
  <c r="F32" i="11" s="1"/>
  <c r="D32" i="11" s="1"/>
  <c r="E32" i="11" s="1"/>
  <c r="H32" i="11"/>
  <c r="I32" i="11"/>
  <c r="J32" i="11"/>
  <c r="K32" i="11"/>
  <c r="G33" i="11"/>
  <c r="H33" i="11"/>
  <c r="I33" i="11"/>
  <c r="J33" i="11"/>
  <c r="K33" i="11"/>
  <c r="G34" i="11"/>
  <c r="F34" i="11" s="1"/>
  <c r="D34" i="11" s="1"/>
  <c r="E34" i="11" s="1"/>
  <c r="H34" i="11"/>
  <c r="I34" i="11"/>
  <c r="J34" i="11"/>
  <c r="K34" i="11"/>
  <c r="G35" i="11"/>
  <c r="F35" i="11" s="1"/>
  <c r="D35" i="11" s="1"/>
  <c r="E35" i="11" s="1"/>
  <c r="H35" i="11"/>
  <c r="I35" i="11"/>
  <c r="J35" i="11"/>
  <c r="K35" i="11"/>
  <c r="G36" i="11"/>
  <c r="F36" i="11" s="1"/>
  <c r="D36" i="11" s="1"/>
  <c r="E36" i="11" s="1"/>
  <c r="H36" i="11"/>
  <c r="I36" i="11"/>
  <c r="J36" i="11"/>
  <c r="K36" i="11"/>
  <c r="G37" i="11"/>
  <c r="F37" i="11" s="1"/>
  <c r="H37" i="11"/>
  <c r="I37" i="11"/>
  <c r="J37" i="11"/>
  <c r="K37" i="11"/>
  <c r="G38" i="11"/>
  <c r="H38" i="11"/>
  <c r="I38" i="11"/>
  <c r="J38" i="11"/>
  <c r="K38" i="11"/>
  <c r="G39" i="11"/>
  <c r="H39" i="11"/>
  <c r="I39" i="11"/>
  <c r="J39" i="11"/>
  <c r="K39" i="11"/>
  <c r="G40" i="11"/>
  <c r="H40" i="11"/>
  <c r="I40" i="11"/>
  <c r="J40" i="11"/>
  <c r="K40" i="11"/>
  <c r="G41" i="11"/>
  <c r="H41" i="11"/>
  <c r="I41" i="11"/>
  <c r="J41" i="11"/>
  <c r="K41" i="11"/>
  <c r="G42" i="11"/>
  <c r="H42" i="11"/>
  <c r="I42" i="11"/>
  <c r="J42" i="11"/>
  <c r="F42" i="11" s="1"/>
  <c r="K42" i="11"/>
  <c r="G43" i="11"/>
  <c r="F43" i="11" s="1"/>
  <c r="D43" i="11" s="1"/>
  <c r="E43" i="11" s="1"/>
  <c r="H43" i="11"/>
  <c r="I43" i="11"/>
  <c r="J43" i="11"/>
  <c r="K43" i="11"/>
  <c r="G4" i="11"/>
  <c r="H4" i="11"/>
  <c r="I4" i="11"/>
  <c r="J4" i="11"/>
  <c r="K4" i="11"/>
  <c r="G5" i="11"/>
  <c r="H5" i="11"/>
  <c r="I5" i="11"/>
  <c r="J5" i="11"/>
  <c r="K5" i="11"/>
  <c r="G6" i="11"/>
  <c r="F6" i="11" s="1"/>
  <c r="D6" i="11" s="1"/>
  <c r="E6" i="11" s="1"/>
  <c r="H6" i="11"/>
  <c r="I6" i="11"/>
  <c r="J6" i="11"/>
  <c r="K6" i="11"/>
  <c r="G7" i="11"/>
  <c r="F7" i="11" s="1"/>
  <c r="D7" i="11" s="1"/>
  <c r="E7" i="11" s="1"/>
  <c r="H7" i="11"/>
  <c r="I7" i="11"/>
  <c r="J7" i="11"/>
  <c r="K7" i="11"/>
  <c r="G8" i="11"/>
  <c r="F8" i="11" s="1"/>
  <c r="D8" i="11" s="1"/>
  <c r="E8" i="11" s="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F14" i="11" s="1"/>
  <c r="H14" i="11"/>
  <c r="I14" i="11"/>
  <c r="J14" i="11"/>
  <c r="K14" i="11"/>
  <c r="G15" i="11"/>
  <c r="F15" i="11" s="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F18" i="11" s="1"/>
  <c r="J18" i="11"/>
  <c r="K18" i="11"/>
  <c r="G19" i="11"/>
  <c r="F19" i="11" s="1"/>
  <c r="H19" i="11"/>
  <c r="I19" i="11"/>
  <c r="J19" i="11"/>
  <c r="K19" i="11"/>
  <c r="G20" i="11"/>
  <c r="F20" i="11" s="1"/>
  <c r="D20" i="11" s="1"/>
  <c r="E20" i="11" s="1"/>
  <c r="H20" i="11"/>
  <c r="I20" i="11"/>
  <c r="J20" i="11"/>
  <c r="K20" i="11"/>
  <c r="K3" i="11"/>
  <c r="J3" i="11"/>
  <c r="I3" i="11"/>
  <c r="H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D22" i="11" s="1"/>
  <c r="E22" i="11" s="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3" i="11"/>
  <c r="D3" i="11" s="1"/>
  <c r="E3" i="11" s="1"/>
  <c r="F41" i="11"/>
  <c r="F40" i="11"/>
  <c r="F39" i="11"/>
  <c r="D39" i="11"/>
  <c r="E39" i="11" s="1"/>
  <c r="F38" i="11"/>
  <c r="F33" i="11"/>
  <c r="D33" i="11" s="1"/>
  <c r="E33" i="11" s="1"/>
  <c r="F28" i="11"/>
  <c r="F27" i="11"/>
  <c r="F23" i="11"/>
  <c r="F22" i="11"/>
  <c r="F21" i="11"/>
  <c r="F17" i="11"/>
  <c r="F16" i="11"/>
  <c r="D16" i="11"/>
  <c r="E16" i="11" s="1"/>
  <c r="F13" i="11"/>
  <c r="D13" i="11"/>
  <c r="E13" i="11" s="1"/>
  <c r="F12" i="11"/>
  <c r="D12" i="11"/>
  <c r="E12" i="11" s="1"/>
  <c r="F11" i="11"/>
  <c r="D11" i="11" s="1"/>
  <c r="E11" i="11" s="1"/>
  <c r="F10" i="11"/>
  <c r="D10" i="11" s="1"/>
  <c r="E10" i="11" s="1"/>
  <c r="F9" i="11"/>
  <c r="D9" i="11" s="1"/>
  <c r="E9" i="11" s="1"/>
  <c r="F5" i="11"/>
  <c r="D5" i="11" s="1"/>
  <c r="E5" i="11" s="1"/>
  <c r="F4" i="11"/>
  <c r="D4" i="11" s="1"/>
  <c r="E4" i="11" s="1"/>
  <c r="G3" i="11"/>
  <c r="F3" i="11" s="1"/>
  <c r="I4" i="10"/>
  <c r="J4" i="10"/>
  <c r="K4" i="10"/>
  <c r="L4" i="10"/>
  <c r="M4" i="10"/>
  <c r="N4" i="10"/>
  <c r="O4" i="10"/>
  <c r="P4" i="10"/>
  <c r="Q4" i="10"/>
  <c r="R4" i="10"/>
  <c r="I5" i="10"/>
  <c r="J5" i="10"/>
  <c r="K5" i="10"/>
  <c r="L5" i="10"/>
  <c r="M5" i="10"/>
  <c r="N5" i="10"/>
  <c r="O5" i="10"/>
  <c r="P5" i="10"/>
  <c r="Q5" i="10"/>
  <c r="R5" i="10"/>
  <c r="I6" i="10"/>
  <c r="J6" i="10"/>
  <c r="K6" i="10"/>
  <c r="L6" i="10"/>
  <c r="M6" i="10"/>
  <c r="N6" i="10"/>
  <c r="O6" i="10"/>
  <c r="P6" i="10"/>
  <c r="Q6" i="10"/>
  <c r="R6" i="10"/>
  <c r="I7" i="10"/>
  <c r="J7" i="10"/>
  <c r="K7" i="10"/>
  <c r="L7" i="10"/>
  <c r="M7" i="10"/>
  <c r="N7" i="10"/>
  <c r="O7" i="10"/>
  <c r="P7" i="10"/>
  <c r="Q7" i="10"/>
  <c r="R7" i="10"/>
  <c r="I8" i="10"/>
  <c r="J8" i="10"/>
  <c r="K8" i="10"/>
  <c r="L8" i="10"/>
  <c r="M8" i="10"/>
  <c r="N8" i="10"/>
  <c r="O8" i="10"/>
  <c r="P8" i="10"/>
  <c r="Q8" i="10"/>
  <c r="R8" i="10"/>
  <c r="I9" i="10"/>
  <c r="J9" i="10"/>
  <c r="K9" i="10"/>
  <c r="L9" i="10"/>
  <c r="M9" i="10"/>
  <c r="N9" i="10"/>
  <c r="O9" i="10"/>
  <c r="P9" i="10"/>
  <c r="Q9" i="10"/>
  <c r="R9" i="10"/>
  <c r="I10" i="10"/>
  <c r="J10" i="10"/>
  <c r="K10" i="10"/>
  <c r="L10" i="10"/>
  <c r="M10" i="10"/>
  <c r="N10" i="10"/>
  <c r="O10" i="10"/>
  <c r="P10" i="10"/>
  <c r="Q10" i="10"/>
  <c r="R10" i="10"/>
  <c r="I11" i="10"/>
  <c r="J11" i="10"/>
  <c r="K11" i="10"/>
  <c r="L11" i="10"/>
  <c r="M11" i="10"/>
  <c r="N11" i="10"/>
  <c r="O11" i="10"/>
  <c r="P11" i="10"/>
  <c r="Q11" i="10"/>
  <c r="R11" i="10"/>
  <c r="I12" i="10"/>
  <c r="J12" i="10"/>
  <c r="K12" i="10"/>
  <c r="L12" i="10"/>
  <c r="M12" i="10"/>
  <c r="N12" i="10"/>
  <c r="O12" i="10"/>
  <c r="P12" i="10"/>
  <c r="Q12" i="10"/>
  <c r="R12" i="10"/>
  <c r="I13" i="10"/>
  <c r="J13" i="10"/>
  <c r="K13" i="10"/>
  <c r="L13" i="10"/>
  <c r="M13" i="10"/>
  <c r="N13" i="10"/>
  <c r="O13" i="10"/>
  <c r="P13" i="10"/>
  <c r="Q13" i="10"/>
  <c r="R13" i="10"/>
  <c r="I14" i="10"/>
  <c r="J14" i="10"/>
  <c r="K14" i="10"/>
  <c r="L14" i="10"/>
  <c r="M14" i="10"/>
  <c r="N14" i="10"/>
  <c r="O14" i="10"/>
  <c r="P14" i="10"/>
  <c r="Q14" i="10"/>
  <c r="R14" i="10"/>
  <c r="I15" i="10"/>
  <c r="J15" i="10"/>
  <c r="K15" i="10"/>
  <c r="L15" i="10"/>
  <c r="M15" i="10"/>
  <c r="N15" i="10"/>
  <c r="O15" i="10"/>
  <c r="P15" i="10"/>
  <c r="Q15" i="10"/>
  <c r="R15" i="10"/>
  <c r="I16" i="10"/>
  <c r="J16" i="10"/>
  <c r="K16" i="10"/>
  <c r="L16" i="10"/>
  <c r="M16" i="10"/>
  <c r="N16" i="10"/>
  <c r="O16" i="10"/>
  <c r="P16" i="10"/>
  <c r="Q16" i="10"/>
  <c r="R16" i="10"/>
  <c r="I17" i="10"/>
  <c r="J17" i="10"/>
  <c r="K17" i="10"/>
  <c r="L17" i="10"/>
  <c r="M17" i="10"/>
  <c r="N17" i="10"/>
  <c r="O17" i="10"/>
  <c r="P17" i="10"/>
  <c r="Q17" i="10"/>
  <c r="R17" i="10"/>
  <c r="I18" i="10"/>
  <c r="J18" i="10"/>
  <c r="K18" i="10"/>
  <c r="L18" i="10"/>
  <c r="M18" i="10"/>
  <c r="N18" i="10"/>
  <c r="O18" i="10"/>
  <c r="P18" i="10"/>
  <c r="Q18" i="10"/>
  <c r="R18" i="10"/>
  <c r="I19" i="10"/>
  <c r="J19" i="10"/>
  <c r="K19" i="10"/>
  <c r="L19" i="10"/>
  <c r="M19" i="10"/>
  <c r="N19" i="10"/>
  <c r="O19" i="10"/>
  <c r="P19" i="10"/>
  <c r="Q19" i="10"/>
  <c r="R19" i="10"/>
  <c r="I20" i="10"/>
  <c r="J20" i="10"/>
  <c r="K20" i="10"/>
  <c r="L20" i="10"/>
  <c r="M20" i="10"/>
  <c r="N20" i="10"/>
  <c r="O20" i="10"/>
  <c r="P20" i="10"/>
  <c r="Q20" i="10"/>
  <c r="R20" i="10"/>
  <c r="I21" i="10"/>
  <c r="J21" i="10"/>
  <c r="K21" i="10"/>
  <c r="L21" i="10"/>
  <c r="M21" i="10"/>
  <c r="N21" i="10"/>
  <c r="O21" i="10"/>
  <c r="P21" i="10"/>
  <c r="Q21" i="10"/>
  <c r="R21" i="10"/>
  <c r="I22" i="10"/>
  <c r="J22" i="10"/>
  <c r="K22" i="10"/>
  <c r="L22" i="10"/>
  <c r="M22" i="10"/>
  <c r="N22" i="10"/>
  <c r="O22" i="10"/>
  <c r="P22" i="10"/>
  <c r="Q22" i="10"/>
  <c r="R22" i="10"/>
  <c r="I23" i="10"/>
  <c r="J23" i="10"/>
  <c r="K23" i="10"/>
  <c r="L23" i="10"/>
  <c r="M23" i="10"/>
  <c r="N23" i="10"/>
  <c r="O23" i="10"/>
  <c r="P23" i="10"/>
  <c r="Q23" i="10"/>
  <c r="R23" i="10"/>
  <c r="I28" i="10"/>
  <c r="J28" i="10"/>
  <c r="K28" i="10"/>
  <c r="L28" i="10"/>
  <c r="M28" i="10"/>
  <c r="N28" i="10"/>
  <c r="O28" i="10"/>
  <c r="P28" i="10"/>
  <c r="Q28" i="10"/>
  <c r="R28" i="10"/>
  <c r="I29" i="10"/>
  <c r="J29" i="10"/>
  <c r="K29" i="10"/>
  <c r="L29" i="10"/>
  <c r="M29" i="10"/>
  <c r="N29" i="10"/>
  <c r="O29" i="10"/>
  <c r="P29" i="10"/>
  <c r="Q29" i="10"/>
  <c r="R29" i="10"/>
  <c r="I30" i="10"/>
  <c r="J30" i="10"/>
  <c r="K30" i="10"/>
  <c r="L30" i="10"/>
  <c r="M30" i="10"/>
  <c r="N30" i="10"/>
  <c r="O30" i="10"/>
  <c r="P30" i="10"/>
  <c r="Q30" i="10"/>
  <c r="R30" i="10"/>
  <c r="I31" i="10"/>
  <c r="J31" i="10"/>
  <c r="K31" i="10"/>
  <c r="L31" i="10"/>
  <c r="M31" i="10"/>
  <c r="N31" i="10"/>
  <c r="O31" i="10"/>
  <c r="P31" i="10"/>
  <c r="Q31" i="10"/>
  <c r="R31" i="10"/>
  <c r="I32" i="10"/>
  <c r="J32" i="10"/>
  <c r="K32" i="10"/>
  <c r="L32" i="10"/>
  <c r="M32" i="10"/>
  <c r="N32" i="10"/>
  <c r="O32" i="10"/>
  <c r="P32" i="10"/>
  <c r="Q32" i="10"/>
  <c r="R32" i="10"/>
  <c r="I33" i="10"/>
  <c r="J33" i="10"/>
  <c r="K33" i="10"/>
  <c r="L33" i="10"/>
  <c r="M33" i="10"/>
  <c r="N33" i="10"/>
  <c r="O33" i="10"/>
  <c r="P33" i="10"/>
  <c r="Q33" i="10"/>
  <c r="R33" i="10"/>
  <c r="I34" i="10"/>
  <c r="J34" i="10"/>
  <c r="K34" i="10"/>
  <c r="L34" i="10"/>
  <c r="M34" i="10"/>
  <c r="N34" i="10"/>
  <c r="O34" i="10"/>
  <c r="P34" i="10"/>
  <c r="Q34" i="10"/>
  <c r="R34" i="10"/>
  <c r="I35" i="10"/>
  <c r="J35" i="10"/>
  <c r="K35" i="10"/>
  <c r="L35" i="10"/>
  <c r="M35" i="10"/>
  <c r="N35" i="10"/>
  <c r="O35" i="10"/>
  <c r="P35" i="10"/>
  <c r="Q35" i="10"/>
  <c r="R35" i="10"/>
  <c r="I36" i="10"/>
  <c r="J36" i="10"/>
  <c r="K36" i="10"/>
  <c r="L36" i="10"/>
  <c r="M36" i="10"/>
  <c r="N36" i="10"/>
  <c r="O36" i="10"/>
  <c r="P36" i="10"/>
  <c r="Q36" i="10"/>
  <c r="R36" i="10"/>
  <c r="I37" i="10"/>
  <c r="J37" i="10"/>
  <c r="K37" i="10"/>
  <c r="L37" i="10"/>
  <c r="M37" i="10"/>
  <c r="N37" i="10"/>
  <c r="O37" i="10"/>
  <c r="P37" i="10"/>
  <c r="Q37" i="10"/>
  <c r="R37" i="10"/>
  <c r="I38" i="10"/>
  <c r="J38" i="10"/>
  <c r="K38" i="10"/>
  <c r="L38" i="10"/>
  <c r="M38" i="10"/>
  <c r="N38" i="10"/>
  <c r="O38" i="10"/>
  <c r="P38" i="10"/>
  <c r="Q38" i="10"/>
  <c r="R38" i="10"/>
  <c r="I39" i="10"/>
  <c r="J39" i="10"/>
  <c r="K39" i="10"/>
  <c r="L39" i="10"/>
  <c r="M39" i="10"/>
  <c r="N39" i="10"/>
  <c r="O39" i="10"/>
  <c r="P39" i="10"/>
  <c r="Q39" i="10"/>
  <c r="R39" i="10"/>
  <c r="I40" i="10"/>
  <c r="J40" i="10"/>
  <c r="K40" i="10"/>
  <c r="L40" i="10"/>
  <c r="M40" i="10"/>
  <c r="N40" i="10"/>
  <c r="O40" i="10"/>
  <c r="P40" i="10"/>
  <c r="Q40" i="10"/>
  <c r="R40" i="10"/>
  <c r="I41" i="10"/>
  <c r="J41" i="10"/>
  <c r="K41" i="10"/>
  <c r="L41" i="10"/>
  <c r="M41" i="10"/>
  <c r="N41" i="10"/>
  <c r="O41" i="10"/>
  <c r="P41" i="10"/>
  <c r="Q41" i="10"/>
  <c r="R41" i="10"/>
  <c r="I42" i="10"/>
  <c r="J42" i="10"/>
  <c r="K42" i="10"/>
  <c r="L42" i="10"/>
  <c r="M42" i="10"/>
  <c r="N42" i="10"/>
  <c r="O42" i="10"/>
  <c r="P42" i="10"/>
  <c r="Q42" i="10"/>
  <c r="R42" i="10"/>
  <c r="I43" i="10"/>
  <c r="J43" i="10"/>
  <c r="K43" i="10"/>
  <c r="L43" i="10"/>
  <c r="M43" i="10"/>
  <c r="N43" i="10"/>
  <c r="O43" i="10"/>
  <c r="P43" i="10"/>
  <c r="Q43" i="10"/>
  <c r="R43" i="10"/>
  <c r="I44" i="10"/>
  <c r="J44" i="10"/>
  <c r="K44" i="10"/>
  <c r="L44" i="10"/>
  <c r="M44" i="10"/>
  <c r="N44" i="10"/>
  <c r="O44" i="10"/>
  <c r="P44" i="10"/>
  <c r="Q44" i="10"/>
  <c r="R44" i="10"/>
  <c r="I45" i="10"/>
  <c r="J45" i="10"/>
  <c r="K45" i="10"/>
  <c r="L45" i="10"/>
  <c r="M45" i="10"/>
  <c r="N45" i="10"/>
  <c r="O45" i="10"/>
  <c r="P45" i="10"/>
  <c r="Q45" i="10"/>
  <c r="R45" i="10"/>
  <c r="I46" i="10"/>
  <c r="J46" i="10"/>
  <c r="K46" i="10"/>
  <c r="L46" i="10"/>
  <c r="M46" i="10"/>
  <c r="N46" i="10"/>
  <c r="O46" i="10"/>
  <c r="P46" i="10"/>
  <c r="Q46" i="10"/>
  <c r="R46" i="10"/>
  <c r="I47" i="10"/>
  <c r="J47" i="10"/>
  <c r="K47" i="10"/>
  <c r="L47" i="10"/>
  <c r="M47" i="10"/>
  <c r="N47" i="10"/>
  <c r="O47" i="10"/>
  <c r="P47" i="10"/>
  <c r="Q47" i="10"/>
  <c r="R47" i="10"/>
  <c r="Q3" i="10"/>
  <c r="O3" i="10"/>
  <c r="M3" i="10"/>
  <c r="K3" i="10"/>
  <c r="I3" i="10"/>
  <c r="D4" i="10"/>
  <c r="D5" i="10"/>
  <c r="D6" i="10"/>
  <c r="D7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3" i="10"/>
  <c r="R3" i="10"/>
  <c r="P3" i="10"/>
  <c r="N3" i="10"/>
  <c r="L3" i="10"/>
  <c r="J3" i="10"/>
  <c r="G25" i="10" l="1"/>
  <c r="E25" i="10" s="1"/>
  <c r="F25" i="10" s="1"/>
  <c r="G27" i="10"/>
  <c r="E27" i="10" s="1"/>
  <c r="F27" i="10" s="1"/>
  <c r="G26" i="10"/>
  <c r="G3" i="10"/>
  <c r="G24" i="10"/>
  <c r="E24" i="10" s="1"/>
  <c r="F24" i="10" s="1"/>
  <c r="E26" i="10"/>
  <c r="F26" i="10" s="1"/>
  <c r="G35" i="10"/>
  <c r="G11" i="10"/>
  <c r="G18" i="10"/>
  <c r="G36" i="10"/>
  <c r="E36" i="10" s="1"/>
  <c r="F36" i="10" s="1"/>
  <c r="G21" i="10"/>
  <c r="G16" i="10"/>
  <c r="E16" i="10" s="1"/>
  <c r="F16" i="10" s="1"/>
  <c r="G7" i="10"/>
  <c r="G10" i="10"/>
  <c r="E10" i="10" s="1"/>
  <c r="F10" i="10" s="1"/>
  <c r="G46" i="10"/>
  <c r="E46" i="10" s="1"/>
  <c r="F46" i="10" s="1"/>
  <c r="G22" i="10"/>
  <c r="G31" i="10"/>
  <c r="E31" i="10" s="1"/>
  <c r="F31" i="10" s="1"/>
  <c r="G40" i="10"/>
  <c r="E40" i="10" s="1"/>
  <c r="F40" i="10" s="1"/>
  <c r="G43" i="10"/>
  <c r="E43" i="10" s="1"/>
  <c r="F43" i="10" s="1"/>
  <c r="G47" i="10"/>
  <c r="E47" i="10" s="1"/>
  <c r="F47" i="10" s="1"/>
  <c r="G29" i="10"/>
  <c r="E29" i="10" s="1"/>
  <c r="F29" i="10" s="1"/>
  <c r="G37" i="10"/>
  <c r="E37" i="10" s="1"/>
  <c r="F37" i="10" s="1"/>
  <c r="G33" i="10"/>
  <c r="E33" i="10" s="1"/>
  <c r="F33" i="10" s="1"/>
  <c r="G9" i="10"/>
  <c r="E9" i="10" s="1"/>
  <c r="F9" i="10" s="1"/>
  <c r="G5" i="10"/>
  <c r="E5" i="10" s="1"/>
  <c r="F5" i="10" s="1"/>
  <c r="G42" i="10"/>
  <c r="E42" i="10" s="1"/>
  <c r="F42" i="10" s="1"/>
  <c r="G44" i="10"/>
  <c r="E44" i="10" s="1"/>
  <c r="F44" i="10" s="1"/>
  <c r="G14" i="10"/>
  <c r="E14" i="10" s="1"/>
  <c r="F14" i="10" s="1"/>
  <c r="G41" i="10"/>
  <c r="E41" i="10" s="1"/>
  <c r="F41" i="10" s="1"/>
  <c r="G23" i="10"/>
  <c r="G32" i="10"/>
  <c r="E32" i="10" s="1"/>
  <c r="F32" i="10" s="1"/>
  <c r="G20" i="10"/>
  <c r="E20" i="10" s="1"/>
  <c r="F20" i="10" s="1"/>
  <c r="G6" i="10"/>
  <c r="E6" i="10" s="1"/>
  <c r="F6" i="10" s="1"/>
  <c r="G45" i="10"/>
  <c r="E45" i="10" s="1"/>
  <c r="F45" i="10" s="1"/>
  <c r="G38" i="10"/>
  <c r="E38" i="10" s="1"/>
  <c r="F38" i="10" s="1"/>
  <c r="G27" i="3"/>
  <c r="C27" i="3" s="1"/>
  <c r="G25" i="3"/>
  <c r="G26" i="3"/>
  <c r="C26" i="3" s="1"/>
  <c r="E25" i="3"/>
  <c r="F25" i="3" s="1"/>
  <c r="D30" i="11"/>
  <c r="E30" i="11" s="1"/>
  <c r="D28" i="11"/>
  <c r="E28" i="11" s="1"/>
  <c r="D27" i="11"/>
  <c r="E27" i="11" s="1"/>
  <c r="D26" i="11"/>
  <c r="E26" i="11" s="1"/>
  <c r="D18" i="11"/>
  <c r="E18" i="11" s="1"/>
  <c r="D14" i="11"/>
  <c r="E14" i="11" s="1"/>
  <c r="D41" i="11"/>
  <c r="E41" i="11" s="1"/>
  <c r="D37" i="11"/>
  <c r="E37" i="11" s="1"/>
  <c r="D15" i="11"/>
  <c r="E15" i="11" s="1"/>
  <c r="D25" i="11"/>
  <c r="E25" i="11" s="1"/>
  <c r="D21" i="11"/>
  <c r="E21" i="11" s="1"/>
  <c r="D19" i="11"/>
  <c r="E19" i="11" s="1"/>
  <c r="D23" i="11"/>
  <c r="E23" i="11" s="1"/>
  <c r="D40" i="11"/>
  <c r="E40" i="11" s="1"/>
  <c r="D17" i="11"/>
  <c r="E17" i="11" s="1"/>
  <c r="D38" i="11"/>
  <c r="E38" i="11" s="1"/>
  <c r="D31" i="11"/>
  <c r="E31" i="11" s="1"/>
  <c r="D29" i="11"/>
  <c r="E29" i="11" s="1"/>
  <c r="D24" i="11"/>
  <c r="E24" i="11" s="1"/>
  <c r="D42" i="11"/>
  <c r="E42" i="11" s="1"/>
  <c r="E23" i="10"/>
  <c r="F23" i="10" s="1"/>
  <c r="G15" i="10"/>
  <c r="E15" i="10" s="1"/>
  <c r="F15" i="10" s="1"/>
  <c r="G39" i="10"/>
  <c r="E39" i="10" s="1"/>
  <c r="F39" i="10" s="1"/>
  <c r="G8" i="10"/>
  <c r="E8" i="10" s="1"/>
  <c r="F8" i="10" s="1"/>
  <c r="G34" i="10"/>
  <c r="E34" i="10" s="1"/>
  <c r="F34" i="10" s="1"/>
  <c r="G13" i="10"/>
  <c r="E35" i="10"/>
  <c r="F35" i="10" s="1"/>
  <c r="G19" i="10"/>
  <c r="G17" i="10"/>
  <c r="E17" i="10" s="1"/>
  <c r="F17" i="10" s="1"/>
  <c r="E18" i="10"/>
  <c r="F18" i="10" s="1"/>
  <c r="E3" i="10"/>
  <c r="F3" i="10" s="1"/>
  <c r="E19" i="10"/>
  <c r="F19" i="10" s="1"/>
  <c r="E13" i="10"/>
  <c r="F13" i="10" s="1"/>
  <c r="G4" i="10"/>
  <c r="E4" i="10" s="1"/>
  <c r="F4" i="10" s="1"/>
  <c r="G30" i="10"/>
  <c r="E30" i="10" s="1"/>
  <c r="F30" i="10" s="1"/>
  <c r="G28" i="10"/>
  <c r="E28" i="10" s="1"/>
  <c r="F28" i="10" s="1"/>
  <c r="E22" i="10"/>
  <c r="F22" i="10" s="1"/>
  <c r="G12" i="10"/>
  <c r="E12" i="10" s="1"/>
  <c r="F12" i="10" s="1"/>
  <c r="E7" i="10"/>
  <c r="F7" i="10" s="1"/>
  <c r="E21" i="10"/>
  <c r="F21" i="10" s="1"/>
  <c r="E11" i="10"/>
  <c r="F11" i="10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" i="3"/>
  <c r="I4" i="3"/>
  <c r="J4" i="3"/>
  <c r="K4" i="3"/>
  <c r="L4" i="3"/>
  <c r="M4" i="3"/>
  <c r="N4" i="3"/>
  <c r="O4" i="3"/>
  <c r="P4" i="3"/>
  <c r="Q4" i="3"/>
  <c r="I5" i="3"/>
  <c r="J5" i="3"/>
  <c r="K5" i="3"/>
  <c r="L5" i="3"/>
  <c r="M5" i="3"/>
  <c r="N5" i="3"/>
  <c r="O5" i="3"/>
  <c r="P5" i="3"/>
  <c r="Q5" i="3"/>
  <c r="I6" i="3"/>
  <c r="J6" i="3"/>
  <c r="K6" i="3"/>
  <c r="L6" i="3"/>
  <c r="M6" i="3"/>
  <c r="N6" i="3"/>
  <c r="O6" i="3"/>
  <c r="P6" i="3"/>
  <c r="Q6" i="3"/>
  <c r="I7" i="3"/>
  <c r="J7" i="3"/>
  <c r="K7" i="3"/>
  <c r="L7" i="3"/>
  <c r="M7" i="3"/>
  <c r="N7" i="3"/>
  <c r="O7" i="3"/>
  <c r="P7" i="3"/>
  <c r="Q7" i="3"/>
  <c r="I8" i="3"/>
  <c r="J8" i="3"/>
  <c r="K8" i="3"/>
  <c r="L8" i="3"/>
  <c r="M8" i="3"/>
  <c r="N8" i="3"/>
  <c r="O8" i="3"/>
  <c r="P8" i="3"/>
  <c r="Q8" i="3"/>
  <c r="I9" i="3"/>
  <c r="J9" i="3"/>
  <c r="K9" i="3"/>
  <c r="L9" i="3"/>
  <c r="M9" i="3"/>
  <c r="N9" i="3"/>
  <c r="O9" i="3"/>
  <c r="P9" i="3"/>
  <c r="Q9" i="3"/>
  <c r="I10" i="3"/>
  <c r="J10" i="3"/>
  <c r="K10" i="3"/>
  <c r="L10" i="3"/>
  <c r="M10" i="3"/>
  <c r="N10" i="3"/>
  <c r="O10" i="3"/>
  <c r="P10" i="3"/>
  <c r="Q10" i="3"/>
  <c r="I11" i="3"/>
  <c r="J11" i="3"/>
  <c r="K11" i="3"/>
  <c r="L11" i="3"/>
  <c r="M11" i="3"/>
  <c r="N11" i="3"/>
  <c r="O11" i="3"/>
  <c r="P11" i="3"/>
  <c r="Q11" i="3"/>
  <c r="I12" i="3"/>
  <c r="J12" i="3"/>
  <c r="K12" i="3"/>
  <c r="L12" i="3"/>
  <c r="M12" i="3"/>
  <c r="N12" i="3"/>
  <c r="O12" i="3"/>
  <c r="P12" i="3"/>
  <c r="Q12" i="3"/>
  <c r="I13" i="3"/>
  <c r="J13" i="3"/>
  <c r="K13" i="3"/>
  <c r="L13" i="3"/>
  <c r="M13" i="3"/>
  <c r="N13" i="3"/>
  <c r="O13" i="3"/>
  <c r="P13" i="3"/>
  <c r="Q13" i="3"/>
  <c r="I14" i="3"/>
  <c r="J14" i="3"/>
  <c r="K14" i="3"/>
  <c r="L14" i="3"/>
  <c r="M14" i="3"/>
  <c r="N14" i="3"/>
  <c r="O14" i="3"/>
  <c r="P14" i="3"/>
  <c r="Q14" i="3"/>
  <c r="I15" i="3"/>
  <c r="J15" i="3"/>
  <c r="K15" i="3"/>
  <c r="L15" i="3"/>
  <c r="M15" i="3"/>
  <c r="N15" i="3"/>
  <c r="O15" i="3"/>
  <c r="P15" i="3"/>
  <c r="Q15" i="3"/>
  <c r="I16" i="3"/>
  <c r="J16" i="3"/>
  <c r="K16" i="3"/>
  <c r="L16" i="3"/>
  <c r="M16" i="3"/>
  <c r="N16" i="3"/>
  <c r="O16" i="3"/>
  <c r="P16" i="3"/>
  <c r="Q16" i="3"/>
  <c r="I17" i="3"/>
  <c r="J17" i="3"/>
  <c r="K17" i="3"/>
  <c r="L17" i="3"/>
  <c r="M17" i="3"/>
  <c r="N17" i="3"/>
  <c r="O17" i="3"/>
  <c r="P17" i="3"/>
  <c r="Q17" i="3"/>
  <c r="I18" i="3"/>
  <c r="J18" i="3"/>
  <c r="K18" i="3"/>
  <c r="L18" i="3"/>
  <c r="M18" i="3"/>
  <c r="N18" i="3"/>
  <c r="O18" i="3"/>
  <c r="P18" i="3"/>
  <c r="Q18" i="3"/>
  <c r="I19" i="3"/>
  <c r="J19" i="3"/>
  <c r="K19" i="3"/>
  <c r="L19" i="3"/>
  <c r="M19" i="3"/>
  <c r="N19" i="3"/>
  <c r="O19" i="3"/>
  <c r="P19" i="3"/>
  <c r="Q19" i="3"/>
  <c r="I20" i="3"/>
  <c r="J20" i="3"/>
  <c r="K20" i="3"/>
  <c r="L20" i="3"/>
  <c r="M20" i="3"/>
  <c r="N20" i="3"/>
  <c r="O20" i="3"/>
  <c r="P20" i="3"/>
  <c r="Q20" i="3"/>
  <c r="I21" i="3"/>
  <c r="J21" i="3"/>
  <c r="K21" i="3"/>
  <c r="L21" i="3"/>
  <c r="M21" i="3"/>
  <c r="N21" i="3"/>
  <c r="O21" i="3"/>
  <c r="P21" i="3"/>
  <c r="Q21" i="3"/>
  <c r="I22" i="3"/>
  <c r="J22" i="3"/>
  <c r="K22" i="3"/>
  <c r="L22" i="3"/>
  <c r="M22" i="3"/>
  <c r="N22" i="3"/>
  <c r="O22" i="3"/>
  <c r="P22" i="3"/>
  <c r="Q22" i="3"/>
  <c r="I23" i="3"/>
  <c r="J23" i="3"/>
  <c r="K23" i="3"/>
  <c r="L23" i="3"/>
  <c r="M23" i="3"/>
  <c r="N23" i="3"/>
  <c r="O23" i="3"/>
  <c r="P23" i="3"/>
  <c r="Q23" i="3"/>
  <c r="I28" i="3"/>
  <c r="J28" i="3"/>
  <c r="K28" i="3"/>
  <c r="L28" i="3"/>
  <c r="M28" i="3"/>
  <c r="N28" i="3"/>
  <c r="O28" i="3"/>
  <c r="P28" i="3"/>
  <c r="Q28" i="3"/>
  <c r="I29" i="3"/>
  <c r="J29" i="3"/>
  <c r="K29" i="3"/>
  <c r="L29" i="3"/>
  <c r="M29" i="3"/>
  <c r="N29" i="3"/>
  <c r="O29" i="3"/>
  <c r="P29" i="3"/>
  <c r="Q29" i="3"/>
  <c r="I30" i="3"/>
  <c r="J30" i="3"/>
  <c r="K30" i="3"/>
  <c r="L30" i="3"/>
  <c r="M30" i="3"/>
  <c r="N30" i="3"/>
  <c r="O30" i="3"/>
  <c r="P30" i="3"/>
  <c r="Q30" i="3"/>
  <c r="I31" i="3"/>
  <c r="J31" i="3"/>
  <c r="K31" i="3"/>
  <c r="L31" i="3"/>
  <c r="M31" i="3"/>
  <c r="N31" i="3"/>
  <c r="O31" i="3"/>
  <c r="P31" i="3"/>
  <c r="Q31" i="3"/>
  <c r="I32" i="3"/>
  <c r="J32" i="3"/>
  <c r="K32" i="3"/>
  <c r="L32" i="3"/>
  <c r="M32" i="3"/>
  <c r="N32" i="3"/>
  <c r="O32" i="3"/>
  <c r="P32" i="3"/>
  <c r="Q32" i="3"/>
  <c r="I33" i="3"/>
  <c r="J33" i="3"/>
  <c r="K33" i="3"/>
  <c r="L33" i="3"/>
  <c r="M33" i="3"/>
  <c r="N33" i="3"/>
  <c r="O33" i="3"/>
  <c r="P33" i="3"/>
  <c r="Q33" i="3"/>
  <c r="I34" i="3"/>
  <c r="J34" i="3"/>
  <c r="K34" i="3"/>
  <c r="L34" i="3"/>
  <c r="M34" i="3"/>
  <c r="N34" i="3"/>
  <c r="O34" i="3"/>
  <c r="P34" i="3"/>
  <c r="Q34" i="3"/>
  <c r="I35" i="3"/>
  <c r="J35" i="3"/>
  <c r="K35" i="3"/>
  <c r="L35" i="3"/>
  <c r="M35" i="3"/>
  <c r="N35" i="3"/>
  <c r="O35" i="3"/>
  <c r="P35" i="3"/>
  <c r="Q35" i="3"/>
  <c r="I36" i="3"/>
  <c r="J36" i="3"/>
  <c r="K36" i="3"/>
  <c r="L36" i="3"/>
  <c r="M36" i="3"/>
  <c r="N36" i="3"/>
  <c r="O36" i="3"/>
  <c r="P36" i="3"/>
  <c r="Q36" i="3"/>
  <c r="I37" i="3"/>
  <c r="J37" i="3"/>
  <c r="K37" i="3"/>
  <c r="L37" i="3"/>
  <c r="M37" i="3"/>
  <c r="N37" i="3"/>
  <c r="O37" i="3"/>
  <c r="P37" i="3"/>
  <c r="Q37" i="3"/>
  <c r="I38" i="3"/>
  <c r="J38" i="3"/>
  <c r="K38" i="3"/>
  <c r="L38" i="3"/>
  <c r="M38" i="3"/>
  <c r="N38" i="3"/>
  <c r="O38" i="3"/>
  <c r="P38" i="3"/>
  <c r="Q38" i="3"/>
  <c r="I39" i="3"/>
  <c r="J39" i="3"/>
  <c r="K39" i="3"/>
  <c r="L39" i="3"/>
  <c r="M39" i="3"/>
  <c r="N39" i="3"/>
  <c r="O39" i="3"/>
  <c r="P39" i="3"/>
  <c r="Q39" i="3"/>
  <c r="I40" i="3"/>
  <c r="J40" i="3"/>
  <c r="K40" i="3"/>
  <c r="L40" i="3"/>
  <c r="M40" i="3"/>
  <c r="N40" i="3"/>
  <c r="O40" i="3"/>
  <c r="P40" i="3"/>
  <c r="Q40" i="3"/>
  <c r="I41" i="3"/>
  <c r="J41" i="3"/>
  <c r="K41" i="3"/>
  <c r="L41" i="3"/>
  <c r="M41" i="3"/>
  <c r="N41" i="3"/>
  <c r="O41" i="3"/>
  <c r="P41" i="3"/>
  <c r="Q41" i="3"/>
  <c r="I42" i="3"/>
  <c r="J42" i="3"/>
  <c r="K42" i="3"/>
  <c r="L42" i="3"/>
  <c r="M42" i="3"/>
  <c r="N42" i="3"/>
  <c r="O42" i="3"/>
  <c r="P42" i="3"/>
  <c r="Q42" i="3"/>
  <c r="I43" i="3"/>
  <c r="J43" i="3"/>
  <c r="K43" i="3"/>
  <c r="L43" i="3"/>
  <c r="M43" i="3"/>
  <c r="N43" i="3"/>
  <c r="O43" i="3"/>
  <c r="P43" i="3"/>
  <c r="Q43" i="3"/>
  <c r="I44" i="3"/>
  <c r="J44" i="3"/>
  <c r="K44" i="3"/>
  <c r="L44" i="3"/>
  <c r="M44" i="3"/>
  <c r="N44" i="3"/>
  <c r="O44" i="3"/>
  <c r="P44" i="3"/>
  <c r="Q44" i="3"/>
  <c r="I45" i="3"/>
  <c r="J45" i="3"/>
  <c r="K45" i="3"/>
  <c r="L45" i="3"/>
  <c r="M45" i="3"/>
  <c r="N45" i="3"/>
  <c r="O45" i="3"/>
  <c r="P45" i="3"/>
  <c r="Q45" i="3"/>
  <c r="I46" i="3"/>
  <c r="J46" i="3"/>
  <c r="K46" i="3"/>
  <c r="L46" i="3"/>
  <c r="M46" i="3"/>
  <c r="N46" i="3"/>
  <c r="O46" i="3"/>
  <c r="P46" i="3"/>
  <c r="Q46" i="3"/>
  <c r="I47" i="3"/>
  <c r="J47" i="3"/>
  <c r="K47" i="3"/>
  <c r="L47" i="3"/>
  <c r="M47" i="3"/>
  <c r="N47" i="3"/>
  <c r="O47" i="3"/>
  <c r="P47" i="3"/>
  <c r="Q47" i="3"/>
  <c r="Q3" i="3"/>
  <c r="O3" i="3"/>
  <c r="M3" i="3"/>
  <c r="K3" i="3"/>
  <c r="I3" i="3"/>
  <c r="G3" i="3" s="1"/>
  <c r="C3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3" i="3"/>
  <c r="P3" i="3"/>
  <c r="N3" i="3"/>
  <c r="L3" i="3"/>
  <c r="J3" i="3"/>
  <c r="E26" i="3" l="1"/>
  <c r="F26" i="3" s="1"/>
  <c r="E27" i="3"/>
  <c r="F27" i="3" s="1"/>
  <c r="G8" i="3"/>
  <c r="C8" i="3" s="1"/>
  <c r="G47" i="3"/>
  <c r="C47" i="3" s="1"/>
  <c r="G28" i="3"/>
  <c r="C28" i="3" s="1"/>
  <c r="G10" i="3"/>
  <c r="C10" i="3" s="1"/>
  <c r="G23" i="3"/>
  <c r="C23" i="3" s="1"/>
  <c r="G7" i="3"/>
  <c r="C7" i="3" s="1"/>
  <c r="G12" i="3"/>
  <c r="C12" i="3" s="1"/>
  <c r="G34" i="3"/>
  <c r="G41" i="3"/>
  <c r="C41" i="3" s="1"/>
  <c r="E23" i="3"/>
  <c r="F23" i="3" s="1"/>
  <c r="G17" i="3"/>
  <c r="G19" i="3"/>
  <c r="G30" i="3"/>
  <c r="G14" i="3"/>
  <c r="C14" i="3" s="1"/>
  <c r="G33" i="3"/>
  <c r="G46" i="3"/>
  <c r="G9" i="3"/>
  <c r="G22" i="3"/>
  <c r="G21" i="3"/>
  <c r="G32" i="3"/>
  <c r="C32" i="3" s="1"/>
  <c r="G42" i="3"/>
  <c r="G15" i="3"/>
  <c r="G16" i="3"/>
  <c r="E41" i="3"/>
  <c r="F41" i="3" s="1"/>
  <c r="G35" i="3"/>
  <c r="E7" i="3"/>
  <c r="F7" i="3" s="1"/>
  <c r="G40" i="3"/>
  <c r="G5" i="3"/>
  <c r="G39" i="3"/>
  <c r="G38" i="3"/>
  <c r="G31" i="3"/>
  <c r="G20" i="3"/>
  <c r="G37" i="3"/>
  <c r="G43" i="3"/>
  <c r="G44" i="3"/>
  <c r="G45" i="3"/>
  <c r="E12" i="3"/>
  <c r="F12" i="3" s="1"/>
  <c r="E8" i="3"/>
  <c r="F8" i="3" s="1"/>
  <c r="G36" i="3"/>
  <c r="G13" i="3"/>
  <c r="G6" i="3"/>
  <c r="G29" i="3"/>
  <c r="G18" i="3"/>
  <c r="E28" i="3"/>
  <c r="F28" i="3" s="1"/>
  <c r="G4" i="3"/>
  <c r="E3" i="3"/>
  <c r="F3" i="3" s="1"/>
  <c r="G11" i="3"/>
  <c r="E32" i="3" l="1"/>
  <c r="F32" i="3" s="1"/>
  <c r="E14" i="3"/>
  <c r="F14" i="3" s="1"/>
  <c r="E16" i="3"/>
  <c r="F16" i="3" s="1"/>
  <c r="C16" i="3"/>
  <c r="E21" i="3"/>
  <c r="F21" i="3" s="1"/>
  <c r="C21" i="3"/>
  <c r="E33" i="3"/>
  <c r="F33" i="3" s="1"/>
  <c r="C33" i="3"/>
  <c r="E45" i="3"/>
  <c r="F45" i="3" s="1"/>
  <c r="C45" i="3"/>
  <c r="E15" i="3"/>
  <c r="F15" i="3" s="1"/>
  <c r="C15" i="3"/>
  <c r="E4" i="3"/>
  <c r="F4" i="3" s="1"/>
  <c r="C4" i="3"/>
  <c r="E46" i="3"/>
  <c r="F46" i="3" s="1"/>
  <c r="C46" i="3"/>
  <c r="E36" i="3"/>
  <c r="F36" i="3" s="1"/>
  <c r="C36" i="3"/>
  <c r="E47" i="3"/>
  <c r="F47" i="3" s="1"/>
  <c r="E35" i="3"/>
  <c r="F35" i="3" s="1"/>
  <c r="C35" i="3"/>
  <c r="E42" i="3"/>
  <c r="F42" i="3" s="1"/>
  <c r="C42" i="3"/>
  <c r="E22" i="3"/>
  <c r="F22" i="3" s="1"/>
  <c r="C22" i="3"/>
  <c r="E18" i="3"/>
  <c r="F18" i="3" s="1"/>
  <c r="C18" i="3"/>
  <c r="E6" i="3"/>
  <c r="F6" i="3" s="1"/>
  <c r="C6" i="3"/>
  <c r="E19" i="3"/>
  <c r="F19" i="3" s="1"/>
  <c r="C19" i="3"/>
  <c r="E17" i="3"/>
  <c r="F17" i="3" s="1"/>
  <c r="C17" i="3"/>
  <c r="E44" i="3"/>
  <c r="F44" i="3" s="1"/>
  <c r="C44" i="3"/>
  <c r="E34" i="3"/>
  <c r="F34" i="3" s="1"/>
  <c r="C34" i="3"/>
  <c r="E43" i="3"/>
  <c r="F43" i="3" s="1"/>
  <c r="C43" i="3"/>
  <c r="E37" i="3"/>
  <c r="F37" i="3" s="1"/>
  <c r="C37" i="3"/>
  <c r="E38" i="3"/>
  <c r="F38" i="3" s="1"/>
  <c r="C38" i="3"/>
  <c r="E9" i="3"/>
  <c r="F9" i="3" s="1"/>
  <c r="C9" i="3"/>
  <c r="E30" i="3"/>
  <c r="F30" i="3" s="1"/>
  <c r="C30" i="3"/>
  <c r="E40" i="3"/>
  <c r="F40" i="3" s="1"/>
  <c r="C40" i="3"/>
  <c r="E11" i="3"/>
  <c r="F11" i="3" s="1"/>
  <c r="C11" i="3"/>
  <c r="E29" i="3"/>
  <c r="F29" i="3" s="1"/>
  <c r="C29" i="3"/>
  <c r="E13" i="3"/>
  <c r="F13" i="3" s="1"/>
  <c r="C13" i="3"/>
  <c r="E10" i="3"/>
  <c r="F10" i="3" s="1"/>
  <c r="E20" i="3"/>
  <c r="F20" i="3" s="1"/>
  <c r="C20" i="3"/>
  <c r="E31" i="3"/>
  <c r="F31" i="3" s="1"/>
  <c r="C31" i="3"/>
  <c r="E39" i="3"/>
  <c r="F39" i="3" s="1"/>
  <c r="C39" i="3"/>
  <c r="E5" i="3"/>
  <c r="F5" i="3" s="1"/>
  <c r="C5" i="3"/>
</calcChain>
</file>

<file path=xl/sharedStrings.xml><?xml version="1.0" encoding="utf-8"?>
<sst xmlns="http://schemas.openxmlformats.org/spreadsheetml/2006/main" count="42" uniqueCount="32">
  <si>
    <t>x</t>
    <phoneticPr fontId="1" type="noConversion"/>
  </si>
  <si>
    <t>Sum</t>
    <phoneticPr fontId="1" type="noConversion"/>
  </si>
  <si>
    <t>Difference</t>
    <phoneticPr fontId="1" type="noConversion"/>
  </si>
  <si>
    <t>Ratio</t>
    <phoneticPr fontId="1" type="noConversion"/>
  </si>
  <si>
    <t>x^3/3!</t>
    <phoneticPr fontId="1" type="noConversion"/>
  </si>
  <si>
    <t>x^5/5!</t>
    <phoneticPr fontId="1" type="noConversion"/>
  </si>
  <si>
    <t>x^9/9!</t>
    <phoneticPr fontId="1" type="noConversion"/>
  </si>
  <si>
    <t>x^13/13!</t>
    <phoneticPr fontId="1" type="noConversion"/>
  </si>
  <si>
    <t>x^17/17!</t>
    <phoneticPr fontId="1" type="noConversion"/>
  </si>
  <si>
    <t>sin(x)</t>
    <phoneticPr fontId="1" type="noConversion"/>
  </si>
  <si>
    <t>(-x)^3/3!</t>
    <phoneticPr fontId="1" type="noConversion"/>
  </si>
  <si>
    <t>(-x)^7/7!</t>
    <phoneticPr fontId="1" type="noConversion"/>
  </si>
  <si>
    <t>(-x)^11/11!</t>
    <phoneticPr fontId="1" type="noConversion"/>
  </si>
  <si>
    <t>(-x)^15/15!</t>
    <phoneticPr fontId="1" type="noConversion"/>
  </si>
  <si>
    <t>(-x)^19/19!</t>
    <phoneticPr fontId="1" type="noConversion"/>
  </si>
  <si>
    <t>x^4/4!</t>
    <phoneticPr fontId="1" type="noConversion"/>
  </si>
  <si>
    <t>x^8/8!</t>
    <phoneticPr fontId="1" type="noConversion"/>
  </si>
  <si>
    <t>x^12/12!</t>
    <phoneticPr fontId="1" type="noConversion"/>
  </si>
  <si>
    <t>x^16/16!</t>
    <phoneticPr fontId="1" type="noConversion"/>
  </si>
  <si>
    <t>x^20/20!</t>
    <phoneticPr fontId="1" type="noConversion"/>
  </si>
  <si>
    <t>cos(x)</t>
    <phoneticPr fontId="1" type="noConversion"/>
  </si>
  <si>
    <t>(-1)x^2/2!</t>
    <phoneticPr fontId="1" type="noConversion"/>
  </si>
  <si>
    <t>(-1)x^6/6!</t>
    <phoneticPr fontId="1" type="noConversion"/>
  </si>
  <si>
    <t>(-1)x^10/10!</t>
    <phoneticPr fontId="1" type="noConversion"/>
  </si>
  <si>
    <t>(-1)x^14/14!</t>
    <phoneticPr fontId="1" type="noConversion"/>
  </si>
  <si>
    <t>(-1)x^18/18!</t>
    <phoneticPr fontId="1" type="noConversion"/>
  </si>
  <si>
    <t>tan(x)</t>
    <phoneticPr fontId="1" type="noConversion"/>
  </si>
  <si>
    <t>2x^5/15</t>
    <phoneticPr fontId="1" type="noConversion"/>
  </si>
  <si>
    <t>17x^7/315</t>
    <phoneticPr fontId="1" type="noConversion"/>
  </si>
  <si>
    <t>62x^9/2835</t>
    <phoneticPr fontId="1" type="noConversion"/>
  </si>
  <si>
    <t>x-sin(x)</t>
    <phoneticPr fontId="1" type="noConversion"/>
  </si>
  <si>
    <t>x-cos(x)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</si>
</sst>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176" fontId="3" fillId="0" borderId="1" xfId="0" applyNumberFormat="1" applyFont="1" applyBorder="1"/>
    <xf numFmtId="176" fontId="2" fillId="0" borderId="2" xfId="0" applyNumberFormat="1" applyFont="1" applyBorder="1"/>
    <xf numFmtId="176" fontId="3" fillId="0" borderId="2" xfId="0" applyNumberFormat="1" applyFont="1" applyBorder="1"/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47"/>
  <sheetViews>
    <sheetView tabSelected="1" topLeftCell="A16" zoomScale="85" zoomScaleNormal="85" workbookViewId="0">
      <selection activeCell="C2" sqref="C2"/>
    </sheetView>
  </sheetViews>
  <sheetFormatPr defaultColWidth="8.81640625" defaultRowHeight="14" x14ac:dyDescent="0.25"/>
  <cols>
    <col min="1" max="1" width="2.36328125" customWidth="1"/>
    <col min="2" max="2" width="8.08984375" customWidth="1"/>
    <col min="3" max="3" width="13.1796875" customWidth="1"/>
    <col min="4" max="4" width="14.453125" customWidth="1"/>
    <col min="5" max="5" width="13.36328125" customWidth="1"/>
    <col min="6" max="6" width="10" customWidth="1"/>
    <col min="7" max="7" width="13.6328125" customWidth="1"/>
    <col min="8" max="8" width="10.6328125" customWidth="1"/>
    <col min="9" max="13" width="15.6328125" style="1" customWidth="1"/>
    <col min="14" max="17" width="15.6328125" customWidth="1"/>
  </cols>
  <sheetData>
    <row r="2" spans="2:18" s="2" customFormat="1" x14ac:dyDescent="0.25">
      <c r="B2" s="4" t="s">
        <v>0</v>
      </c>
      <c r="C2" s="14" t="s">
        <v>30</v>
      </c>
      <c r="D2" s="4" t="s">
        <v>9</v>
      </c>
      <c r="E2" s="4" t="s">
        <v>2</v>
      </c>
      <c r="F2" s="4" t="s">
        <v>3</v>
      </c>
      <c r="G2" s="4" t="s">
        <v>1</v>
      </c>
      <c r="H2" s="4" t="s">
        <v>0</v>
      </c>
      <c r="I2" s="9" t="s">
        <v>10</v>
      </c>
      <c r="J2" s="9" t="s">
        <v>5</v>
      </c>
      <c r="K2" s="9" t="s">
        <v>11</v>
      </c>
      <c r="L2" s="9" t="s">
        <v>6</v>
      </c>
      <c r="M2" s="9" t="s">
        <v>12</v>
      </c>
      <c r="N2" s="9" t="s">
        <v>7</v>
      </c>
      <c r="O2" s="9" t="s">
        <v>13</v>
      </c>
      <c r="P2" s="9" t="s">
        <v>8</v>
      </c>
      <c r="Q2" s="9" t="s">
        <v>14</v>
      </c>
      <c r="R2" s="3"/>
    </row>
    <row r="3" spans="2:18" x14ac:dyDescent="0.25">
      <c r="B3">
        <v>-2</v>
      </c>
      <c r="C3">
        <f>B3-G3</f>
        <v>-1.0907025731743589</v>
      </c>
      <c r="D3">
        <f>SIN(B3)</f>
        <v>-0.90929742682568171</v>
      </c>
      <c r="E3" s="7">
        <f t="shared" ref="E3:E22" si="0">D3-G3</f>
        <v>-4.0745185003743245E-14</v>
      </c>
      <c r="F3" s="8">
        <f t="shared" ref="F3:F22" si="1">E3/D3</f>
        <v>4.4809524146552286E-14</v>
      </c>
      <c r="G3">
        <f t="shared" ref="G3:G47" si="2">SUM(H3:Q3)</f>
        <v>-0.90929742682564096</v>
      </c>
      <c r="H3" s="12">
        <f>B3</f>
        <v>-2</v>
      </c>
      <c r="I3">
        <f>(-B3)^3/FACT(3)</f>
        <v>1.3333333333333333</v>
      </c>
      <c r="J3">
        <f t="shared" ref="J3" si="3">B3^5/FACT(5)</f>
        <v>-0.26666666666666666</v>
      </c>
      <c r="K3">
        <f>-B3^7/FACT(7)</f>
        <v>2.5396825396825397E-2</v>
      </c>
      <c r="L3">
        <f t="shared" ref="L3" si="4">B3^9/FACT(9)</f>
        <v>-1.4109347442680777E-3</v>
      </c>
      <c r="M3">
        <f>-B3^11/FACT(11)</f>
        <v>5.1306717973384643E-5</v>
      </c>
      <c r="N3">
        <f t="shared" ref="N3" si="5">B3^13/FACT(13)</f>
        <v>-1.3155568711124266E-6</v>
      </c>
      <c r="O3">
        <f>-B3^15/FACT(15)</f>
        <v>2.5058226116427174E-8</v>
      </c>
      <c r="P3">
        <f t="shared" ref="P3" si="6">B3^17/FACT(17)</f>
        <v>-3.6850332524157608E-10</v>
      </c>
      <c r="Q3">
        <f>-B3^19/FACT(19)</f>
        <v>4.3099804121821765E-12</v>
      </c>
      <c r="R3" s="1"/>
    </row>
    <row r="4" spans="2:18" x14ac:dyDescent="0.25">
      <c r="B4">
        <v>-1.9</v>
      </c>
      <c r="C4">
        <f t="shared" ref="C4:C22" si="7">B4-G4</f>
        <v>-0.95369991231259921</v>
      </c>
      <c r="D4">
        <f t="shared" ref="D4:D47" si="8">SIN(B4)</f>
        <v>-0.94630008768741447</v>
      </c>
      <c r="E4" s="5">
        <f t="shared" si="0"/>
        <v>-1.3766765505351941E-14</v>
      </c>
      <c r="F4" s="6">
        <f t="shared" si="1"/>
        <v>1.4547991366032117E-14</v>
      </c>
      <c r="G4">
        <f t="shared" si="2"/>
        <v>-0.9463000876874007</v>
      </c>
      <c r="H4" s="12">
        <f t="shared" ref="H4:H47" si="9">B4</f>
        <v>-1.9</v>
      </c>
      <c r="I4">
        <f t="shared" ref="I4:I47" si="10">(-B4)^3/FACT(3)</f>
        <v>1.1431666666666664</v>
      </c>
      <c r="J4">
        <f t="shared" ref="J4:J47" si="11">B4^5/FACT(5)</f>
        <v>-0.20634158333333333</v>
      </c>
      <c r="K4">
        <f t="shared" ref="K4:K47" si="12">-B4^7/FACT(7)</f>
        <v>1.7735550376984127E-2</v>
      </c>
      <c r="L4">
        <f t="shared" ref="L4:L47" si="13">B4^9/FACT(9)</f>
        <v>-8.8924078973489848E-4</v>
      </c>
      <c r="M4">
        <f t="shared" ref="M4:M47" si="14">-B4^11/FACT(11)</f>
        <v>2.9183265917663487E-5</v>
      </c>
      <c r="N4">
        <f t="shared" ref="N4:N47" si="15">B4^13/FACT(13)</f>
        <v>-6.7533070488952045E-7</v>
      </c>
      <c r="O4">
        <f t="shared" ref="O4:O47" si="16">-B4^15/FACT(15)</f>
        <v>1.1609256403100803E-8</v>
      </c>
      <c r="P4">
        <f t="shared" ref="P4:P47" si="17">B4^17/FACT(17)</f>
        <v>-1.5407873387938934E-10</v>
      </c>
      <c r="Q4">
        <f t="shared" ref="Q4:Q47" si="18">-B4^19/FACT(19)</f>
        <v>1.6263866353935541E-12</v>
      </c>
      <c r="R4" s="1"/>
    </row>
    <row r="5" spans="2:18" x14ac:dyDescent="0.25">
      <c r="B5">
        <v>-1.8</v>
      </c>
      <c r="C5">
        <f t="shared" si="7"/>
        <v>-0.82615236912180934</v>
      </c>
      <c r="D5">
        <f t="shared" si="8"/>
        <v>-0.97384763087819515</v>
      </c>
      <c r="E5" s="5">
        <f t="shared" si="0"/>
        <v>-4.4408920985006262E-15</v>
      </c>
      <c r="F5" s="6">
        <f t="shared" si="1"/>
        <v>4.5601508466944918E-15</v>
      </c>
      <c r="G5">
        <f t="shared" si="2"/>
        <v>-0.97384763087819071</v>
      </c>
      <c r="H5" s="12">
        <f t="shared" si="9"/>
        <v>-1.8</v>
      </c>
      <c r="I5">
        <f t="shared" si="10"/>
        <v>0.97200000000000009</v>
      </c>
      <c r="J5">
        <f t="shared" si="11"/>
        <v>-0.15746400000000005</v>
      </c>
      <c r="K5">
        <f t="shared" si="12"/>
        <v>1.2147222857142861E-2</v>
      </c>
      <c r="L5">
        <f t="shared" si="13"/>
        <v>-5.4662502857142877E-4</v>
      </c>
      <c r="M5">
        <f t="shared" si="14"/>
        <v>1.6100591750649358E-5</v>
      </c>
      <c r="N5">
        <f t="shared" si="15"/>
        <v>-3.3439690559040984E-7</v>
      </c>
      <c r="O5">
        <f t="shared" si="16"/>
        <v>5.159266543394894E-9</v>
      </c>
      <c r="P5">
        <f t="shared" si="17"/>
        <v>-6.1455969119850955E-11</v>
      </c>
      <c r="Q5">
        <f t="shared" si="18"/>
        <v>5.8221444429332492E-13</v>
      </c>
      <c r="R5" s="1"/>
    </row>
    <row r="6" spans="2:18" x14ac:dyDescent="0.25">
      <c r="B6">
        <v>-1.7</v>
      </c>
      <c r="C6">
        <f t="shared" si="7"/>
        <v>-0.70833518954753261</v>
      </c>
      <c r="D6">
        <f t="shared" si="8"/>
        <v>-0.99166481045246857</v>
      </c>
      <c r="E6" s="5">
        <f t="shared" si="0"/>
        <v>-1.2212453270876722E-15</v>
      </c>
      <c r="F6" s="6">
        <f t="shared" si="1"/>
        <v>1.2315101980178692E-15</v>
      </c>
      <c r="G6">
        <f t="shared" si="2"/>
        <v>-0.99166481045246735</v>
      </c>
      <c r="H6" s="12">
        <f t="shared" si="9"/>
        <v>-1.7</v>
      </c>
      <c r="I6">
        <f t="shared" si="10"/>
        <v>0.81883333333333319</v>
      </c>
      <c r="J6">
        <f t="shared" si="11"/>
        <v>-0.11832141666666664</v>
      </c>
      <c r="K6">
        <f t="shared" si="12"/>
        <v>8.1416403373015846E-3</v>
      </c>
      <c r="L6">
        <f t="shared" si="13"/>
        <v>-3.2679639687224413E-4</v>
      </c>
      <c r="M6">
        <f t="shared" si="14"/>
        <v>8.5858326087344129E-6</v>
      </c>
      <c r="N6">
        <f t="shared" si="15"/>
        <v>-1.5905805281565675E-7</v>
      </c>
      <c r="O6">
        <f t="shared" si="16"/>
        <v>2.1889417744630852E-9</v>
      </c>
      <c r="P6">
        <f t="shared" si="17"/>
        <v>-2.3257506353670283E-11</v>
      </c>
      <c r="Q6">
        <f t="shared" si="18"/>
        <v>1.9653272912896816E-13</v>
      </c>
      <c r="R6" s="1"/>
    </row>
    <row r="7" spans="2:18" x14ac:dyDescent="0.25">
      <c r="B7">
        <v>-1.6</v>
      </c>
      <c r="C7">
        <f t="shared" si="7"/>
        <v>-0.60042639695849531</v>
      </c>
      <c r="D7">
        <f t="shared" si="8"/>
        <v>-0.99957360304150511</v>
      </c>
      <c r="E7" s="5">
        <f t="shared" si="0"/>
        <v>0</v>
      </c>
      <c r="F7" s="6">
        <f t="shared" si="1"/>
        <v>0</v>
      </c>
      <c r="G7">
        <f t="shared" si="2"/>
        <v>-0.99957360304150478</v>
      </c>
      <c r="H7" s="12">
        <f t="shared" si="9"/>
        <v>-1.6</v>
      </c>
      <c r="I7">
        <f t="shared" si="10"/>
        <v>0.68266666666666687</v>
      </c>
      <c r="J7">
        <f t="shared" si="11"/>
        <v>-8.738133333333338E-2</v>
      </c>
      <c r="K7">
        <f t="shared" si="12"/>
        <v>5.3261003174603213E-3</v>
      </c>
      <c r="L7">
        <f t="shared" si="13"/>
        <v>-1.8937245573192257E-4</v>
      </c>
      <c r="M7">
        <f t="shared" si="14"/>
        <v>4.4072135152156537E-6</v>
      </c>
      <c r="N7">
        <f t="shared" si="15"/>
        <v>-7.2323503839436389E-8</v>
      </c>
      <c r="O7">
        <f t="shared" si="16"/>
        <v>8.8165795156646284E-10</v>
      </c>
      <c r="P7">
        <f t="shared" si="17"/>
        <v>-8.2979571912137682E-12</v>
      </c>
      <c r="Q7">
        <f t="shared" si="18"/>
        <v>6.2113363770489036E-14</v>
      </c>
      <c r="R7" s="1"/>
    </row>
    <row r="8" spans="2:18" x14ac:dyDescent="0.25">
      <c r="B8">
        <v>-1.5</v>
      </c>
      <c r="C8">
        <f t="shared" si="7"/>
        <v>-0.50250501339594555</v>
      </c>
      <c r="D8">
        <f t="shared" si="8"/>
        <v>-0.99749498660405445</v>
      </c>
      <c r="E8" s="5">
        <f t="shared" si="0"/>
        <v>0</v>
      </c>
      <c r="F8" s="6">
        <f t="shared" si="1"/>
        <v>0</v>
      </c>
      <c r="G8">
        <f t="shared" si="2"/>
        <v>-0.99749498660405445</v>
      </c>
      <c r="H8" s="12">
        <f t="shared" si="9"/>
        <v>-1.5</v>
      </c>
      <c r="I8">
        <f t="shared" si="10"/>
        <v>0.5625</v>
      </c>
      <c r="J8">
        <f t="shared" si="11"/>
        <v>-6.3281249999999997E-2</v>
      </c>
      <c r="K8">
        <f t="shared" si="12"/>
        <v>3.3900669642857144E-3</v>
      </c>
      <c r="L8">
        <f t="shared" si="13"/>
        <v>-1.0593959263392857E-4</v>
      </c>
      <c r="M8">
        <f t="shared" si="14"/>
        <v>2.1669462129667207E-6</v>
      </c>
      <c r="N8">
        <f t="shared" si="15"/>
        <v>-3.1254031917789239E-8</v>
      </c>
      <c r="O8">
        <f t="shared" si="16"/>
        <v>3.3486462769059901E-10</v>
      </c>
      <c r="P8">
        <f t="shared" si="17"/>
        <v>-2.7700198981759111E-12</v>
      </c>
      <c r="Q8">
        <f t="shared" si="18"/>
        <v>1.8223815119578361E-14</v>
      </c>
      <c r="R8" s="1"/>
    </row>
    <row r="9" spans="2:18" x14ac:dyDescent="0.25">
      <c r="B9">
        <v>-1.4</v>
      </c>
      <c r="C9">
        <f t="shared" si="7"/>
        <v>-0.41455027001153966</v>
      </c>
      <c r="D9">
        <f t="shared" si="8"/>
        <v>-0.98544972998846014</v>
      </c>
      <c r="E9" s="5">
        <f t="shared" si="0"/>
        <v>0</v>
      </c>
      <c r="F9" s="6">
        <f t="shared" si="1"/>
        <v>0</v>
      </c>
      <c r="G9">
        <f t="shared" si="2"/>
        <v>-0.98544972998846025</v>
      </c>
      <c r="H9" s="12">
        <f t="shared" si="9"/>
        <v>-1.4</v>
      </c>
      <c r="I9">
        <f t="shared" si="10"/>
        <v>0.4573333333333332</v>
      </c>
      <c r="J9">
        <f t="shared" si="11"/>
        <v>-4.4818666666666652E-2</v>
      </c>
      <c r="K9">
        <f t="shared" si="12"/>
        <v>2.0915377777777763E-3</v>
      </c>
      <c r="L9">
        <f t="shared" si="13"/>
        <v>-5.6936306172839467E-5</v>
      </c>
      <c r="M9">
        <f t="shared" si="14"/>
        <v>1.0145014554433212E-6</v>
      </c>
      <c r="N9">
        <f t="shared" si="15"/>
        <v>-1.2746300337621213E-8</v>
      </c>
      <c r="O9">
        <f t="shared" si="16"/>
        <v>1.1896546981779797E-10</v>
      </c>
      <c r="P9">
        <f t="shared" si="17"/>
        <v>-8.5725117956942646E-13</v>
      </c>
      <c r="Q9">
        <f t="shared" si="18"/>
        <v>4.9129014969475898E-15</v>
      </c>
      <c r="R9" s="1"/>
    </row>
    <row r="10" spans="2:18" x14ac:dyDescent="0.25">
      <c r="B10">
        <v>-1.3</v>
      </c>
      <c r="C10">
        <f t="shared" si="7"/>
        <v>-0.33644181458280709</v>
      </c>
      <c r="D10">
        <f t="shared" si="8"/>
        <v>-0.96355818541719296</v>
      </c>
      <c r="E10" s="5">
        <f t="shared" si="0"/>
        <v>0</v>
      </c>
      <c r="F10" s="6">
        <f t="shared" si="1"/>
        <v>0</v>
      </c>
      <c r="G10">
        <f t="shared" si="2"/>
        <v>-0.96355818541719296</v>
      </c>
      <c r="H10" s="12">
        <f t="shared" si="9"/>
        <v>-1.3</v>
      </c>
      <c r="I10">
        <f t="shared" si="10"/>
        <v>0.36616666666666675</v>
      </c>
      <c r="J10">
        <f t="shared" si="11"/>
        <v>-3.0941083333333341E-2</v>
      </c>
      <c r="K10">
        <f t="shared" si="12"/>
        <v>1.2450102579365085E-3</v>
      </c>
      <c r="L10">
        <f t="shared" si="13"/>
        <v>-2.9223157443231932E-5</v>
      </c>
      <c r="M10">
        <f t="shared" si="14"/>
        <v>4.4897396435510883E-7</v>
      </c>
      <c r="N10">
        <f t="shared" si="15"/>
        <v>-4.8638846138470136E-9</v>
      </c>
      <c r="O10">
        <f t="shared" si="16"/>
        <v>3.9142690463816444E-11</v>
      </c>
      <c r="P10">
        <f t="shared" si="17"/>
        <v>-2.4320274589650656E-13</v>
      </c>
      <c r="Q10">
        <f t="shared" si="18"/>
        <v>1.201791346681568E-15</v>
      </c>
      <c r="R10" s="1"/>
    </row>
    <row r="11" spans="2:18" x14ac:dyDescent="0.25">
      <c r="B11">
        <v>-1.2</v>
      </c>
      <c r="C11">
        <f t="shared" si="7"/>
        <v>-0.26796091403277367</v>
      </c>
      <c r="D11">
        <f t="shared" si="8"/>
        <v>-0.93203908596722629</v>
      </c>
      <c r="E11" s="5">
        <f t="shared" si="0"/>
        <v>0</v>
      </c>
      <c r="F11" s="6">
        <f t="shared" si="1"/>
        <v>0</v>
      </c>
      <c r="G11">
        <f t="shared" si="2"/>
        <v>-0.93203908596722629</v>
      </c>
      <c r="H11" s="12">
        <f t="shared" si="9"/>
        <v>-1.2</v>
      </c>
      <c r="I11">
        <f t="shared" si="10"/>
        <v>0.28799999999999998</v>
      </c>
      <c r="J11">
        <f t="shared" si="11"/>
        <v>-2.0735999999999997E-2</v>
      </c>
      <c r="K11">
        <f t="shared" si="12"/>
        <v>7.1094857142857133E-4</v>
      </c>
      <c r="L11">
        <f t="shared" si="13"/>
        <v>-1.4218971428571427E-5</v>
      </c>
      <c r="M11">
        <f t="shared" si="14"/>
        <v>1.8613926233766229E-7</v>
      </c>
      <c r="N11">
        <f t="shared" si="15"/>
        <v>-1.718208575424575E-9</v>
      </c>
      <c r="O11">
        <f t="shared" si="16"/>
        <v>1.1782001660054229E-11</v>
      </c>
      <c r="P11">
        <f t="shared" si="17"/>
        <v>-6.237530290616944E-14</v>
      </c>
      <c r="Q11">
        <f t="shared" si="18"/>
        <v>2.6263285434176605E-16</v>
      </c>
      <c r="R11" s="1"/>
    </row>
    <row r="12" spans="2:18" x14ac:dyDescent="0.25">
      <c r="B12">
        <v>-1.1000000000000001</v>
      </c>
      <c r="C12">
        <f t="shared" si="7"/>
        <v>-0.20879263993856478</v>
      </c>
      <c r="D12">
        <f t="shared" si="8"/>
        <v>-0.89120736006143542</v>
      </c>
      <c r="E12" s="5">
        <f t="shared" si="0"/>
        <v>0</v>
      </c>
      <c r="F12" s="6">
        <f t="shared" si="1"/>
        <v>0</v>
      </c>
      <c r="G12">
        <f t="shared" si="2"/>
        <v>-0.89120736006143531</v>
      </c>
      <c r="H12" s="12">
        <f t="shared" si="9"/>
        <v>-1.1000000000000001</v>
      </c>
      <c r="I12">
        <f t="shared" si="10"/>
        <v>0.22183333333333341</v>
      </c>
      <c r="J12">
        <f t="shared" si="11"/>
        <v>-1.3420916666666671E-2</v>
      </c>
      <c r="K12">
        <f t="shared" si="12"/>
        <v>3.8665021825396849E-4</v>
      </c>
      <c r="L12">
        <f t="shared" si="13"/>
        <v>-6.4978717234347482E-6</v>
      </c>
      <c r="M12">
        <f t="shared" si="14"/>
        <v>7.1476588957782253E-8</v>
      </c>
      <c r="N12">
        <f t="shared" si="15"/>
        <v>-5.5440174768536233E-10</v>
      </c>
      <c r="O12">
        <f t="shared" si="16"/>
        <v>3.1944100699966118E-12</v>
      </c>
      <c r="P12">
        <f t="shared" si="17"/>
        <v>-1.4210427149617282E-14</v>
      </c>
      <c r="Q12">
        <f t="shared" si="18"/>
        <v>5.0276657459172268E-17</v>
      </c>
      <c r="R12" s="1"/>
    </row>
    <row r="13" spans="2:18" x14ac:dyDescent="0.25">
      <c r="B13">
        <v>-1</v>
      </c>
      <c r="C13">
        <f t="shared" si="7"/>
        <v>-0.1585290151921035</v>
      </c>
      <c r="D13">
        <f t="shared" si="8"/>
        <v>-0.8414709848078965</v>
      </c>
      <c r="E13" s="5">
        <f t="shared" si="0"/>
        <v>0</v>
      </c>
      <c r="F13" s="6">
        <f t="shared" si="1"/>
        <v>0</v>
      </c>
      <c r="G13">
        <f t="shared" si="2"/>
        <v>-0.8414709848078965</v>
      </c>
      <c r="H13" s="12">
        <f t="shared" si="9"/>
        <v>-1</v>
      </c>
      <c r="I13">
        <f t="shared" si="10"/>
        <v>0.16666666666666666</v>
      </c>
      <c r="J13">
        <f t="shared" si="11"/>
        <v>-8.3333333333333332E-3</v>
      </c>
      <c r="K13">
        <f t="shared" si="12"/>
        <v>1.9841269841269841E-4</v>
      </c>
      <c r="L13">
        <f t="shared" si="13"/>
        <v>-2.7557319223985893E-6</v>
      </c>
      <c r="M13">
        <f t="shared" si="14"/>
        <v>2.505210838544172E-8</v>
      </c>
      <c r="N13">
        <f t="shared" si="15"/>
        <v>-1.6059043836821613E-10</v>
      </c>
      <c r="O13">
        <f t="shared" si="16"/>
        <v>7.6471637318198164E-13</v>
      </c>
      <c r="P13">
        <f t="shared" si="17"/>
        <v>-2.8114572543455206E-15</v>
      </c>
      <c r="Q13">
        <f t="shared" si="18"/>
        <v>8.2206352466243295E-18</v>
      </c>
      <c r="R13" s="1"/>
    </row>
    <row r="14" spans="2:18" x14ac:dyDescent="0.25">
      <c r="B14">
        <v>-0.9</v>
      </c>
      <c r="C14">
        <f t="shared" si="7"/>
        <v>-0.11667309037251661</v>
      </c>
      <c r="D14">
        <f t="shared" si="8"/>
        <v>-0.78332690962748341</v>
      </c>
      <c r="E14" s="5">
        <f t="shared" si="0"/>
        <v>0</v>
      </c>
      <c r="F14" s="5">
        <f t="shared" si="1"/>
        <v>0</v>
      </c>
      <c r="G14">
        <f t="shared" si="2"/>
        <v>-0.78332690962748341</v>
      </c>
      <c r="H14" s="12">
        <f t="shared" si="9"/>
        <v>-0.9</v>
      </c>
      <c r="I14">
        <f t="shared" si="10"/>
        <v>0.12150000000000001</v>
      </c>
      <c r="J14">
        <f t="shared" si="11"/>
        <v>-4.9207500000000015E-3</v>
      </c>
      <c r="K14">
        <f t="shared" si="12"/>
        <v>9.4900178571428602E-5</v>
      </c>
      <c r="L14">
        <f t="shared" si="13"/>
        <v>-1.0676270089285718E-6</v>
      </c>
      <c r="M14">
        <f t="shared" si="14"/>
        <v>7.8616170657467568E-9</v>
      </c>
      <c r="N14">
        <f t="shared" si="15"/>
        <v>-4.0819934764454326E-11</v>
      </c>
      <c r="O14">
        <f t="shared" si="16"/>
        <v>1.5744831980575238E-13</v>
      </c>
      <c r="P14">
        <f t="shared" si="17"/>
        <v>-4.6887183471565975E-16</v>
      </c>
      <c r="Q14">
        <f t="shared" si="18"/>
        <v>1.1104859243265627E-18</v>
      </c>
      <c r="R14" s="1"/>
    </row>
    <row r="15" spans="2:18" x14ac:dyDescent="0.25">
      <c r="B15">
        <v>-0.8</v>
      </c>
      <c r="C15">
        <f t="shared" si="7"/>
        <v>-8.2643909100477142E-2</v>
      </c>
      <c r="D15">
        <f t="shared" si="8"/>
        <v>-0.71735609089952279</v>
      </c>
      <c r="E15" s="5">
        <f t="shared" si="0"/>
        <v>0</v>
      </c>
      <c r="F15" s="5">
        <f t="shared" si="1"/>
        <v>0</v>
      </c>
      <c r="G15">
        <f t="shared" si="2"/>
        <v>-0.7173560908995229</v>
      </c>
      <c r="H15" s="12">
        <f t="shared" si="9"/>
        <v>-0.8</v>
      </c>
      <c r="I15">
        <f t="shared" si="10"/>
        <v>8.5333333333333358E-2</v>
      </c>
      <c r="J15">
        <f t="shared" si="11"/>
        <v>-2.7306666666666681E-3</v>
      </c>
      <c r="K15">
        <f t="shared" si="12"/>
        <v>4.161015873015876E-5</v>
      </c>
      <c r="L15">
        <f t="shared" si="13"/>
        <v>-3.6986807760141126E-7</v>
      </c>
      <c r="M15">
        <f t="shared" si="14"/>
        <v>2.1519597242263934E-9</v>
      </c>
      <c r="N15">
        <f t="shared" si="15"/>
        <v>-8.8285527147749498E-12</v>
      </c>
      <c r="O15">
        <f t="shared" si="16"/>
        <v>2.6906065416456996E-14</v>
      </c>
      <c r="P15">
        <f t="shared" si="17"/>
        <v>-6.3308389215192934E-17</v>
      </c>
      <c r="Q15">
        <f t="shared" si="18"/>
        <v>1.1847183946702773E-19</v>
      </c>
      <c r="R15" s="1"/>
    </row>
    <row r="16" spans="2:18" x14ac:dyDescent="0.25">
      <c r="B16">
        <v>-0.7</v>
      </c>
      <c r="C16">
        <f t="shared" si="7"/>
        <v>-5.5782312762308939E-2</v>
      </c>
      <c r="D16">
        <f t="shared" si="8"/>
        <v>-0.64421768723769102</v>
      </c>
      <c r="E16" s="5">
        <f t="shared" si="0"/>
        <v>0</v>
      </c>
      <c r="F16" s="5">
        <f t="shared" si="1"/>
        <v>0</v>
      </c>
      <c r="G16">
        <f t="shared" si="2"/>
        <v>-0.64421768723769102</v>
      </c>
      <c r="H16" s="12">
        <f t="shared" si="9"/>
        <v>-0.7</v>
      </c>
      <c r="I16">
        <f t="shared" si="10"/>
        <v>5.716666666666665E-2</v>
      </c>
      <c r="J16">
        <f t="shared" si="11"/>
        <v>-1.4005833333333329E-3</v>
      </c>
      <c r="K16">
        <f t="shared" si="12"/>
        <v>1.6340138888888877E-5</v>
      </c>
      <c r="L16">
        <f t="shared" si="13"/>
        <v>-1.1120372299382708E-7</v>
      </c>
      <c r="M16">
        <f t="shared" si="14"/>
        <v>4.953620387906842E-10</v>
      </c>
      <c r="N16">
        <f t="shared" si="15"/>
        <v>-1.555944865432277E-12</v>
      </c>
      <c r="O16">
        <f t="shared" si="16"/>
        <v>3.6305380193419792E-15</v>
      </c>
      <c r="P16">
        <f t="shared" si="17"/>
        <v>-6.540307461314594E-18</v>
      </c>
      <c r="Q16">
        <f t="shared" si="18"/>
        <v>9.3706159533454701E-21</v>
      </c>
      <c r="R16" s="1"/>
    </row>
    <row r="17" spans="2:18" x14ac:dyDescent="0.25">
      <c r="B17">
        <v>-0.6</v>
      </c>
      <c r="C17">
        <f t="shared" si="7"/>
        <v>-3.5357526604964606E-2</v>
      </c>
      <c r="D17">
        <f t="shared" si="8"/>
        <v>-0.56464247339503537</v>
      </c>
      <c r="E17" s="5">
        <f t="shared" si="0"/>
        <v>0</v>
      </c>
      <c r="F17" s="5">
        <f t="shared" si="1"/>
        <v>0</v>
      </c>
      <c r="G17">
        <f t="shared" si="2"/>
        <v>-0.56464247339503537</v>
      </c>
      <c r="H17" s="12">
        <f t="shared" si="9"/>
        <v>-0.6</v>
      </c>
      <c r="I17">
        <f t="shared" si="10"/>
        <v>3.5999999999999997E-2</v>
      </c>
      <c r="J17">
        <f t="shared" si="11"/>
        <v>-6.4799999999999992E-4</v>
      </c>
      <c r="K17">
        <f t="shared" si="12"/>
        <v>5.5542857142857135E-6</v>
      </c>
      <c r="L17">
        <f t="shared" si="13"/>
        <v>-2.7771428571428568E-8</v>
      </c>
      <c r="M17">
        <f t="shared" si="14"/>
        <v>9.0888311688311667E-11</v>
      </c>
      <c r="N17">
        <f t="shared" si="15"/>
        <v>-2.0974225774225769E-13</v>
      </c>
      <c r="O17">
        <f t="shared" si="16"/>
        <v>3.5955815612958463E-16</v>
      </c>
      <c r="P17">
        <f t="shared" si="17"/>
        <v>-4.7588579487739136E-19</v>
      </c>
      <c r="Q17">
        <f t="shared" si="18"/>
        <v>5.0093241566041193E-22</v>
      </c>
      <c r="R17" s="1"/>
    </row>
    <row r="18" spans="2:18" x14ac:dyDescent="0.25">
      <c r="B18">
        <v>-0.5</v>
      </c>
      <c r="C18">
        <f>B18-G18</f>
        <v>-2.0574461395796995E-2</v>
      </c>
      <c r="D18">
        <f t="shared" si="8"/>
        <v>-0.47942553860420301</v>
      </c>
      <c r="E18" s="5">
        <f t="shared" si="0"/>
        <v>0</v>
      </c>
      <c r="F18" s="5">
        <f t="shared" si="1"/>
        <v>0</v>
      </c>
      <c r="G18">
        <f t="shared" si="2"/>
        <v>-0.47942553860420301</v>
      </c>
      <c r="H18" s="12">
        <f t="shared" si="9"/>
        <v>-0.5</v>
      </c>
      <c r="I18">
        <f t="shared" si="10"/>
        <v>2.0833333333333332E-2</v>
      </c>
      <c r="J18">
        <f t="shared" si="11"/>
        <v>-2.6041666666666666E-4</v>
      </c>
      <c r="K18">
        <f t="shared" si="12"/>
        <v>1.5500992063492063E-6</v>
      </c>
      <c r="L18">
        <f t="shared" si="13"/>
        <v>-5.3822889109347446E-9</v>
      </c>
      <c r="M18">
        <f t="shared" si="14"/>
        <v>1.2232474797578965E-11</v>
      </c>
      <c r="N18">
        <f t="shared" si="15"/>
        <v>-1.9603324996120133E-14</v>
      </c>
      <c r="O18">
        <f t="shared" si="16"/>
        <v>2.333729166204778E-17</v>
      </c>
      <c r="P18">
        <f t="shared" si="17"/>
        <v>-2.1449716601146855E-20</v>
      </c>
      <c r="Q18">
        <f t="shared" si="18"/>
        <v>1.5679617398499164E-23</v>
      </c>
      <c r="R18" s="1"/>
    </row>
    <row r="19" spans="2:18" x14ac:dyDescent="0.25">
      <c r="B19">
        <v>-0.4</v>
      </c>
      <c r="C19">
        <f t="shared" si="7"/>
        <v>-1.0581657691349555E-2</v>
      </c>
      <c r="D19">
        <f t="shared" si="8"/>
        <v>-0.38941834230865052</v>
      </c>
      <c r="E19" s="5">
        <f t="shared" si="0"/>
        <v>0</v>
      </c>
      <c r="F19" s="5">
        <f t="shared" si="1"/>
        <v>0</v>
      </c>
      <c r="G19">
        <f t="shared" si="2"/>
        <v>-0.38941834230865047</v>
      </c>
      <c r="H19" s="12">
        <f t="shared" si="9"/>
        <v>-0.4</v>
      </c>
      <c r="I19">
        <f t="shared" si="10"/>
        <v>1.066666666666667E-2</v>
      </c>
      <c r="J19">
        <f t="shared" si="11"/>
        <v>-8.5333333333333379E-5</v>
      </c>
      <c r="K19">
        <f t="shared" si="12"/>
        <v>3.2507936507936532E-7</v>
      </c>
      <c r="L19">
        <f t="shared" si="13"/>
        <v>-7.2239858906525637E-10</v>
      </c>
      <c r="M19">
        <f t="shared" si="14"/>
        <v>1.0507615840949186E-12</v>
      </c>
      <c r="N19">
        <f t="shared" si="15"/>
        <v>-1.0777041888153015E-15</v>
      </c>
      <c r="O19">
        <f t="shared" si="16"/>
        <v>8.2110795338308703E-19</v>
      </c>
      <c r="P19">
        <f t="shared" si="17"/>
        <v>-4.8300467846063945E-22</v>
      </c>
      <c r="Q19">
        <f t="shared" si="18"/>
        <v>2.2596710103421732E-25</v>
      </c>
      <c r="R19" s="1"/>
    </row>
    <row r="20" spans="2:18" x14ac:dyDescent="0.25">
      <c r="B20">
        <v>-0.3</v>
      </c>
      <c r="C20">
        <f t="shared" si="7"/>
        <v>-4.4797933386604427E-3</v>
      </c>
      <c r="D20">
        <f t="shared" si="8"/>
        <v>-0.29552020666133955</v>
      </c>
      <c r="E20" s="5">
        <f t="shared" si="0"/>
        <v>0</v>
      </c>
      <c r="F20" s="5">
        <f t="shared" si="1"/>
        <v>0</v>
      </c>
      <c r="G20">
        <f t="shared" si="2"/>
        <v>-0.29552020666133955</v>
      </c>
      <c r="H20" s="12">
        <f t="shared" si="9"/>
        <v>-0.3</v>
      </c>
      <c r="I20">
        <f t="shared" si="10"/>
        <v>4.4999999999999997E-3</v>
      </c>
      <c r="J20">
        <f t="shared" si="11"/>
        <v>-2.0249999999999998E-5</v>
      </c>
      <c r="K20">
        <f t="shared" si="12"/>
        <v>4.3392857142857137E-8</v>
      </c>
      <c r="L20">
        <f t="shared" si="13"/>
        <v>-5.4241071428571422E-11</v>
      </c>
      <c r="M20">
        <f t="shared" si="14"/>
        <v>4.4379058441558431E-14</v>
      </c>
      <c r="N20">
        <f t="shared" si="15"/>
        <v>-2.5603302947052941E-17</v>
      </c>
      <c r="O20">
        <f t="shared" si="16"/>
        <v>1.0972844120165547E-20</v>
      </c>
      <c r="P20">
        <f t="shared" si="17"/>
        <v>-3.6307204809371289E-24</v>
      </c>
      <c r="Q20">
        <f t="shared" si="18"/>
        <v>9.5545275814134965E-28</v>
      </c>
      <c r="R20" s="1"/>
    </row>
    <row r="21" spans="2:18" x14ac:dyDescent="0.25">
      <c r="B21">
        <v>-0.2</v>
      </c>
      <c r="C21">
        <f t="shared" si="7"/>
        <v>-1.3306692049387669E-3</v>
      </c>
      <c r="D21">
        <f t="shared" si="8"/>
        <v>-0.19866933079506122</v>
      </c>
      <c r="E21" s="5">
        <f t="shared" si="0"/>
        <v>0</v>
      </c>
      <c r="F21" s="5">
        <f t="shared" si="1"/>
        <v>0</v>
      </c>
      <c r="G21">
        <f t="shared" si="2"/>
        <v>-0.19866933079506124</v>
      </c>
      <c r="H21" s="12">
        <f t="shared" si="9"/>
        <v>-0.2</v>
      </c>
      <c r="I21">
        <f t="shared" si="10"/>
        <v>1.3333333333333337E-3</v>
      </c>
      <c r="J21">
        <f t="shared" si="11"/>
        <v>-2.6666666666666681E-6</v>
      </c>
      <c r="K21">
        <f t="shared" si="12"/>
        <v>2.5396825396825415E-9</v>
      </c>
      <c r="L21">
        <f t="shared" si="13"/>
        <v>-1.4109347442680788E-12</v>
      </c>
      <c r="M21">
        <f t="shared" si="14"/>
        <v>5.13067179733847E-16</v>
      </c>
      <c r="N21">
        <f t="shared" si="15"/>
        <v>-1.3155568711124286E-19</v>
      </c>
      <c r="O21">
        <f t="shared" si="16"/>
        <v>2.5058226116427217E-23</v>
      </c>
      <c r="P21">
        <f t="shared" si="17"/>
        <v>-3.6850332524157673E-27</v>
      </c>
      <c r="Q21">
        <f t="shared" si="18"/>
        <v>4.3099804121821847E-31</v>
      </c>
      <c r="R21" s="1"/>
    </row>
    <row r="22" spans="2:18" x14ac:dyDescent="0.25">
      <c r="B22">
        <v>-0.1</v>
      </c>
      <c r="C22">
        <f t="shared" si="7"/>
        <v>-1.6658335317183692E-4</v>
      </c>
      <c r="D22">
        <f t="shared" si="8"/>
        <v>-9.9833416646828155E-2</v>
      </c>
      <c r="E22" s="5">
        <f t="shared" si="0"/>
        <v>0</v>
      </c>
      <c r="F22" s="5">
        <f t="shared" si="1"/>
        <v>0</v>
      </c>
      <c r="G22">
        <f t="shared" si="2"/>
        <v>-9.9833416646828169E-2</v>
      </c>
      <c r="H22" s="12">
        <f t="shared" si="9"/>
        <v>-0.1</v>
      </c>
      <c r="I22">
        <f t="shared" si="10"/>
        <v>1.6666666666666672E-4</v>
      </c>
      <c r="J22">
        <f t="shared" si="11"/>
        <v>-8.3333333333333378E-8</v>
      </c>
      <c r="K22">
        <f t="shared" si="12"/>
        <v>1.9841269841269856E-11</v>
      </c>
      <c r="L22">
        <f t="shared" si="13"/>
        <v>-2.7557319223985915E-15</v>
      </c>
      <c r="M22">
        <f t="shared" si="14"/>
        <v>2.5052108385441748E-19</v>
      </c>
      <c r="N22">
        <f t="shared" si="15"/>
        <v>-1.6059043836821638E-23</v>
      </c>
      <c r="O22">
        <f t="shared" si="16"/>
        <v>7.6471637318198293E-28</v>
      </c>
      <c r="P22">
        <f t="shared" si="17"/>
        <v>-2.8114572543455256E-32</v>
      </c>
      <c r="Q22">
        <f t="shared" si="18"/>
        <v>8.2206352466243451E-37</v>
      </c>
      <c r="R22" s="1"/>
    </row>
    <row r="23" spans="2:18" x14ac:dyDescent="0.25">
      <c r="B23">
        <v>0</v>
      </c>
      <c r="C23">
        <f>B23-G23</f>
        <v>0</v>
      </c>
      <c r="D23">
        <f t="shared" si="8"/>
        <v>0</v>
      </c>
      <c r="E23" s="5">
        <f>D23-G23</f>
        <v>0</v>
      </c>
      <c r="F23" s="5" t="e">
        <f>E23/D23</f>
        <v>#DIV/0!</v>
      </c>
      <c r="G23">
        <f t="shared" si="2"/>
        <v>0</v>
      </c>
      <c r="H23" s="12">
        <f t="shared" si="9"/>
        <v>0</v>
      </c>
      <c r="I23">
        <f t="shared" si="10"/>
        <v>0</v>
      </c>
      <c r="J23">
        <f t="shared" si="11"/>
        <v>0</v>
      </c>
      <c r="K23">
        <f t="shared" si="12"/>
        <v>0</v>
      </c>
      <c r="L23">
        <f t="shared" si="13"/>
        <v>0</v>
      </c>
      <c r="M23">
        <f t="shared" si="14"/>
        <v>0</v>
      </c>
      <c r="N23">
        <f t="shared" si="15"/>
        <v>0</v>
      </c>
      <c r="O23">
        <f t="shared" si="16"/>
        <v>0</v>
      </c>
      <c r="P23">
        <f t="shared" si="17"/>
        <v>0</v>
      </c>
      <c r="Q23">
        <f t="shared" si="18"/>
        <v>0</v>
      </c>
    </row>
    <row r="24" spans="2:18" x14ac:dyDescent="0.25">
      <c r="B24">
        <v>9.9999999999999994E-12</v>
      </c>
      <c r="C24">
        <f>B24-G24</f>
        <v>0</v>
      </c>
      <c r="D24">
        <f t="shared" si="8"/>
        <v>9.9999999999999994E-12</v>
      </c>
      <c r="E24" s="5">
        <f>D24-G24</f>
        <v>0</v>
      </c>
      <c r="F24" s="5">
        <f>E24/D24</f>
        <v>0</v>
      </c>
      <c r="G24">
        <f t="shared" si="2"/>
        <v>9.9999999999999994E-12</v>
      </c>
      <c r="H24" s="12">
        <f t="shared" si="9"/>
        <v>9.9999999999999994E-12</v>
      </c>
      <c r="I24">
        <f t="shared" si="10"/>
        <v>-1.6666666666666665E-34</v>
      </c>
      <c r="J24">
        <f t="shared" si="11"/>
        <v>8.3333333333333323E-58</v>
      </c>
      <c r="K24">
        <f t="shared" si="12"/>
        <v>-1.9841269841269837E-81</v>
      </c>
      <c r="L24">
        <f t="shared" si="13"/>
        <v>2.755731922398588E-105</v>
      </c>
      <c r="M24">
        <f t="shared" si="14"/>
        <v>-2.5052108385441706E-129</v>
      </c>
      <c r="N24">
        <f t="shared" si="15"/>
        <v>1.6059043836821607E-153</v>
      </c>
      <c r="O24">
        <f t="shared" si="16"/>
        <v>-7.6471637318198122E-178</v>
      </c>
      <c r="P24">
        <f t="shared" si="17"/>
        <v>2.8114572543455187E-202</v>
      </c>
      <c r="Q24">
        <f t="shared" si="18"/>
        <v>-8.2206352466243238E-227</v>
      </c>
    </row>
    <row r="25" spans="2:18" x14ac:dyDescent="0.25">
      <c r="B25">
        <v>1E-4</v>
      </c>
      <c r="C25">
        <f>B25-G25</f>
        <v>1.6666666148319048E-13</v>
      </c>
      <c r="D25">
        <f t="shared" si="8"/>
        <v>9.9999999833333343E-5</v>
      </c>
      <c r="E25" s="5">
        <f>D25-G25</f>
        <v>0</v>
      </c>
      <c r="F25" s="5">
        <f>E25/D25</f>
        <v>0</v>
      </c>
      <c r="G25">
        <f t="shared" si="2"/>
        <v>9.9999999833333343E-5</v>
      </c>
      <c r="H25" s="12">
        <f t="shared" si="9"/>
        <v>1E-4</v>
      </c>
      <c r="I25">
        <f t="shared" si="10"/>
        <v>-1.6666666666666667E-13</v>
      </c>
      <c r="J25">
        <f t="shared" si="11"/>
        <v>8.3333333333333341E-23</v>
      </c>
      <c r="K25">
        <f t="shared" si="12"/>
        <v>-1.9841269841269843E-32</v>
      </c>
      <c r="L25">
        <f t="shared" si="13"/>
        <v>2.7557319223985898E-42</v>
      </c>
      <c r="M25">
        <f t="shared" si="14"/>
        <v>-2.5052108385441724E-52</v>
      </c>
      <c r="N25">
        <f t="shared" si="15"/>
        <v>1.6059043836821621E-62</v>
      </c>
      <c r="O25">
        <f t="shared" si="16"/>
        <v>-7.6471637318198183E-73</v>
      </c>
      <c r="P25">
        <f t="shared" si="17"/>
        <v>2.8114572543455214E-83</v>
      </c>
      <c r="Q25">
        <f t="shared" si="18"/>
        <v>-8.2206352466243315E-94</v>
      </c>
    </row>
    <row r="26" spans="2:18" x14ac:dyDescent="0.25">
      <c r="B26">
        <v>1E-3</v>
      </c>
      <c r="C26">
        <f t="shared" ref="C26:C27" si="19">B26-G26</f>
        <v>1.6666665833900418E-10</v>
      </c>
      <c r="D26">
        <f t="shared" ref="D26:D27" si="20">SIN(B26)</f>
        <v>9.9999983333334168E-4</v>
      </c>
      <c r="E26" s="5">
        <f t="shared" ref="E26:E27" si="21">D26-G26</f>
        <v>0</v>
      </c>
      <c r="F26" s="5">
        <f t="shared" ref="F26:F27" si="22">E26/D26</f>
        <v>0</v>
      </c>
      <c r="G26">
        <f t="shared" ref="G26:G27" si="23">SUM(H26:Q26)</f>
        <v>9.9999983333334168E-4</v>
      </c>
      <c r="H26" s="12">
        <f t="shared" ref="H26:H27" si="24">B26</f>
        <v>1E-3</v>
      </c>
      <c r="I26">
        <f t="shared" ref="I26:I27" si="25">(-B26)^3/FACT(3)</f>
        <v>-1.6666666666666669E-10</v>
      </c>
      <c r="J26">
        <f t="shared" ref="J26:J27" si="26">B26^5/FACT(5)</f>
        <v>8.3333333333333337E-18</v>
      </c>
      <c r="K26">
        <f t="shared" ref="K26:K27" si="27">-B26^7/FACT(7)</f>
        <v>-1.9841269841269843E-25</v>
      </c>
      <c r="L26">
        <f t="shared" ref="L26:L27" si="28">B26^9/FACT(9)</f>
        <v>2.7557319223985886E-33</v>
      </c>
      <c r="M26">
        <f t="shared" ref="M26:M27" si="29">-B26^11/FACT(11)</f>
        <v>-2.5052108385441718E-41</v>
      </c>
      <c r="N26">
        <f t="shared" ref="N26:N27" si="30">B26^13/FACT(13)</f>
        <v>1.6059043836821613E-49</v>
      </c>
      <c r="O26">
        <f t="shared" ref="O26:O27" si="31">-B26^15/FACT(15)</f>
        <v>-7.6471637318198159E-58</v>
      </c>
      <c r="P26">
        <f t="shared" ref="P26:P27" si="32">B26^17/FACT(17)</f>
        <v>2.8114572543455204E-66</v>
      </c>
      <c r="Q26">
        <f t="shared" ref="Q26:Q27" si="33">-B26^19/FACT(19)</f>
        <v>-8.2206352466243296E-75</v>
      </c>
    </row>
    <row r="27" spans="2:18" x14ac:dyDescent="0.25">
      <c r="B27">
        <v>0.01</v>
      </c>
      <c r="C27">
        <f t="shared" si="19"/>
        <v>1.6666583333574403E-7</v>
      </c>
      <c r="D27">
        <f t="shared" si="20"/>
        <v>9.9998333341666645E-3</v>
      </c>
      <c r="E27" s="5">
        <f t="shared" si="21"/>
        <v>0</v>
      </c>
      <c r="F27" s="5">
        <f t="shared" si="22"/>
        <v>0</v>
      </c>
      <c r="G27">
        <f t="shared" si="23"/>
        <v>9.9998333341666645E-3</v>
      </c>
      <c r="H27" s="12">
        <f t="shared" si="24"/>
        <v>0.01</v>
      </c>
      <c r="I27">
        <f t="shared" si="25"/>
        <v>-1.666666666666667E-7</v>
      </c>
      <c r="J27">
        <f t="shared" si="26"/>
        <v>8.3333333333333338E-13</v>
      </c>
      <c r="K27">
        <f t="shared" si="27"/>
        <v>-1.9841269841269846E-18</v>
      </c>
      <c r="L27">
        <f t="shared" si="28"/>
        <v>2.7557319223985893E-24</v>
      </c>
      <c r="M27">
        <f t="shared" si="29"/>
        <v>-2.5052108385441727E-30</v>
      </c>
      <c r="N27">
        <f t="shared" si="30"/>
        <v>1.6059043836821618E-36</v>
      </c>
      <c r="O27">
        <f t="shared" si="31"/>
        <v>-7.6471637318198187E-43</v>
      </c>
      <c r="P27">
        <f t="shared" si="32"/>
        <v>2.8114572543455211E-49</v>
      </c>
      <c r="Q27">
        <f t="shared" si="33"/>
        <v>-8.2206352466243333E-56</v>
      </c>
    </row>
    <row r="28" spans="2:18" x14ac:dyDescent="0.25">
      <c r="B28">
        <v>0.1</v>
      </c>
      <c r="C28">
        <f>B28-G28</f>
        <v>1.6658335317183692E-4</v>
      </c>
      <c r="D28">
        <f t="shared" si="8"/>
        <v>9.9833416646828155E-2</v>
      </c>
      <c r="E28" s="5">
        <f t="shared" ref="E28:E47" si="34">D28-G28</f>
        <v>0</v>
      </c>
      <c r="F28" s="5">
        <f t="shared" ref="F28:F47" si="35">E28/D28</f>
        <v>0</v>
      </c>
      <c r="G28">
        <f t="shared" si="2"/>
        <v>9.9833416646828169E-2</v>
      </c>
      <c r="H28" s="12">
        <f t="shared" si="9"/>
        <v>0.1</v>
      </c>
      <c r="I28">
        <f t="shared" si="10"/>
        <v>-1.6666666666666672E-4</v>
      </c>
      <c r="J28">
        <f t="shared" si="11"/>
        <v>8.3333333333333378E-8</v>
      </c>
      <c r="K28">
        <f t="shared" si="12"/>
        <v>-1.9841269841269856E-11</v>
      </c>
      <c r="L28">
        <f t="shared" si="13"/>
        <v>2.7557319223985915E-15</v>
      </c>
      <c r="M28">
        <f t="shared" si="14"/>
        <v>-2.5052108385441748E-19</v>
      </c>
      <c r="N28">
        <f t="shared" si="15"/>
        <v>1.6059043836821638E-23</v>
      </c>
      <c r="O28">
        <f t="shared" si="16"/>
        <v>-7.6471637318198293E-28</v>
      </c>
      <c r="P28">
        <f t="shared" si="17"/>
        <v>2.8114572543455256E-32</v>
      </c>
      <c r="Q28">
        <f t="shared" si="18"/>
        <v>-8.2206352466243451E-37</v>
      </c>
    </row>
    <row r="29" spans="2:18" x14ac:dyDescent="0.25">
      <c r="B29">
        <v>0.2</v>
      </c>
      <c r="C29">
        <f t="shared" ref="C29:C47" si="36">B29-G29</f>
        <v>1.3306692049387669E-3</v>
      </c>
      <c r="D29">
        <f t="shared" si="8"/>
        <v>0.19866933079506122</v>
      </c>
      <c r="E29" s="5">
        <f t="shared" si="34"/>
        <v>0</v>
      </c>
      <c r="F29" s="5">
        <f t="shared" si="35"/>
        <v>0</v>
      </c>
      <c r="G29">
        <f t="shared" si="2"/>
        <v>0.19866933079506124</v>
      </c>
      <c r="H29" s="12">
        <f t="shared" si="9"/>
        <v>0.2</v>
      </c>
      <c r="I29">
        <f t="shared" si="10"/>
        <v>-1.3333333333333337E-3</v>
      </c>
      <c r="J29">
        <f t="shared" si="11"/>
        <v>2.6666666666666681E-6</v>
      </c>
      <c r="K29">
        <f t="shared" si="12"/>
        <v>-2.5396825396825415E-9</v>
      </c>
      <c r="L29">
        <f t="shared" si="13"/>
        <v>1.4109347442680788E-12</v>
      </c>
      <c r="M29">
        <f t="shared" si="14"/>
        <v>-5.13067179733847E-16</v>
      </c>
      <c r="N29">
        <f t="shared" si="15"/>
        <v>1.3155568711124286E-19</v>
      </c>
      <c r="O29">
        <f t="shared" si="16"/>
        <v>-2.5058226116427217E-23</v>
      </c>
      <c r="P29">
        <f t="shared" si="17"/>
        <v>3.6850332524157673E-27</v>
      </c>
      <c r="Q29">
        <f t="shared" si="18"/>
        <v>-4.3099804121821847E-31</v>
      </c>
    </row>
    <row r="30" spans="2:18" x14ac:dyDescent="0.25">
      <c r="B30">
        <v>0.3</v>
      </c>
      <c r="C30">
        <f t="shared" si="36"/>
        <v>4.4797933386604427E-3</v>
      </c>
      <c r="D30">
        <f t="shared" si="8"/>
        <v>0.29552020666133955</v>
      </c>
      <c r="E30" s="5">
        <f t="shared" si="34"/>
        <v>0</v>
      </c>
      <c r="F30" s="5">
        <f t="shared" si="35"/>
        <v>0</v>
      </c>
      <c r="G30">
        <f t="shared" si="2"/>
        <v>0.29552020666133955</v>
      </c>
      <c r="H30" s="12">
        <f t="shared" si="9"/>
        <v>0.3</v>
      </c>
      <c r="I30">
        <f t="shared" si="10"/>
        <v>-4.4999999999999997E-3</v>
      </c>
      <c r="J30">
        <f t="shared" si="11"/>
        <v>2.0249999999999998E-5</v>
      </c>
      <c r="K30">
        <f t="shared" si="12"/>
        <v>-4.3392857142857137E-8</v>
      </c>
      <c r="L30">
        <f t="shared" si="13"/>
        <v>5.4241071428571422E-11</v>
      </c>
      <c r="M30">
        <f t="shared" si="14"/>
        <v>-4.4379058441558431E-14</v>
      </c>
      <c r="N30">
        <f t="shared" si="15"/>
        <v>2.5603302947052941E-17</v>
      </c>
      <c r="O30">
        <f t="shared" si="16"/>
        <v>-1.0972844120165547E-20</v>
      </c>
      <c r="P30">
        <f t="shared" si="17"/>
        <v>3.6307204809371289E-24</v>
      </c>
      <c r="Q30">
        <f t="shared" si="18"/>
        <v>-9.5545275814134965E-28</v>
      </c>
    </row>
    <row r="31" spans="2:18" x14ac:dyDescent="0.25">
      <c r="B31">
        <v>0.4</v>
      </c>
      <c r="C31">
        <f t="shared" si="36"/>
        <v>1.0581657691349555E-2</v>
      </c>
      <c r="D31">
        <f t="shared" si="8"/>
        <v>0.38941834230865052</v>
      </c>
      <c r="E31" s="5">
        <f t="shared" si="34"/>
        <v>0</v>
      </c>
      <c r="F31" s="5">
        <f t="shared" si="35"/>
        <v>0</v>
      </c>
      <c r="G31">
        <f t="shared" si="2"/>
        <v>0.38941834230865047</v>
      </c>
      <c r="H31" s="12">
        <f t="shared" si="9"/>
        <v>0.4</v>
      </c>
      <c r="I31">
        <f t="shared" si="10"/>
        <v>-1.066666666666667E-2</v>
      </c>
      <c r="J31">
        <f t="shared" si="11"/>
        <v>8.5333333333333379E-5</v>
      </c>
      <c r="K31">
        <f t="shared" si="12"/>
        <v>-3.2507936507936532E-7</v>
      </c>
      <c r="L31">
        <f t="shared" si="13"/>
        <v>7.2239858906525637E-10</v>
      </c>
      <c r="M31">
        <f t="shared" si="14"/>
        <v>-1.0507615840949186E-12</v>
      </c>
      <c r="N31">
        <f t="shared" si="15"/>
        <v>1.0777041888153015E-15</v>
      </c>
      <c r="O31">
        <f t="shared" si="16"/>
        <v>-8.2110795338308703E-19</v>
      </c>
      <c r="P31">
        <f t="shared" si="17"/>
        <v>4.8300467846063945E-22</v>
      </c>
      <c r="Q31">
        <f t="shared" si="18"/>
        <v>-2.2596710103421732E-25</v>
      </c>
    </row>
    <row r="32" spans="2:18" x14ac:dyDescent="0.25">
      <c r="B32">
        <v>0.5</v>
      </c>
      <c r="C32">
        <f t="shared" si="36"/>
        <v>2.0574461395796995E-2</v>
      </c>
      <c r="D32">
        <f t="shared" si="8"/>
        <v>0.47942553860420301</v>
      </c>
      <c r="E32" s="5">
        <f t="shared" si="34"/>
        <v>0</v>
      </c>
      <c r="F32" s="5">
        <f t="shared" si="35"/>
        <v>0</v>
      </c>
      <c r="G32">
        <f t="shared" si="2"/>
        <v>0.47942553860420301</v>
      </c>
      <c r="H32" s="12">
        <f t="shared" si="9"/>
        <v>0.5</v>
      </c>
      <c r="I32">
        <f t="shared" si="10"/>
        <v>-2.0833333333333332E-2</v>
      </c>
      <c r="J32">
        <f t="shared" si="11"/>
        <v>2.6041666666666666E-4</v>
      </c>
      <c r="K32">
        <f t="shared" si="12"/>
        <v>-1.5500992063492063E-6</v>
      </c>
      <c r="L32">
        <f t="shared" si="13"/>
        <v>5.3822889109347446E-9</v>
      </c>
      <c r="M32">
        <f t="shared" si="14"/>
        <v>-1.2232474797578965E-11</v>
      </c>
      <c r="N32">
        <f t="shared" si="15"/>
        <v>1.9603324996120133E-14</v>
      </c>
      <c r="O32">
        <f t="shared" si="16"/>
        <v>-2.333729166204778E-17</v>
      </c>
      <c r="P32">
        <f t="shared" si="17"/>
        <v>2.1449716601146855E-20</v>
      </c>
      <c r="Q32">
        <f t="shared" si="18"/>
        <v>-1.5679617398499164E-23</v>
      </c>
    </row>
    <row r="33" spans="2:17" x14ac:dyDescent="0.25">
      <c r="B33">
        <v>0.6</v>
      </c>
      <c r="C33">
        <f t="shared" si="36"/>
        <v>3.5357526604964606E-2</v>
      </c>
      <c r="D33">
        <f t="shared" si="8"/>
        <v>0.56464247339503537</v>
      </c>
      <c r="E33" s="5">
        <f t="shared" si="34"/>
        <v>0</v>
      </c>
      <c r="F33" s="5">
        <f t="shared" si="35"/>
        <v>0</v>
      </c>
      <c r="G33">
        <f t="shared" si="2"/>
        <v>0.56464247339503537</v>
      </c>
      <c r="H33" s="12">
        <f t="shared" si="9"/>
        <v>0.6</v>
      </c>
      <c r="I33">
        <f t="shared" si="10"/>
        <v>-3.5999999999999997E-2</v>
      </c>
      <c r="J33">
        <f t="shared" si="11"/>
        <v>6.4799999999999992E-4</v>
      </c>
      <c r="K33">
        <f t="shared" si="12"/>
        <v>-5.5542857142857135E-6</v>
      </c>
      <c r="L33">
        <f t="shared" si="13"/>
        <v>2.7771428571428568E-8</v>
      </c>
      <c r="M33">
        <f t="shared" si="14"/>
        <v>-9.0888311688311667E-11</v>
      </c>
      <c r="N33">
        <f t="shared" si="15"/>
        <v>2.0974225774225769E-13</v>
      </c>
      <c r="O33">
        <f t="shared" si="16"/>
        <v>-3.5955815612958463E-16</v>
      </c>
      <c r="P33">
        <f t="shared" si="17"/>
        <v>4.7588579487739136E-19</v>
      </c>
      <c r="Q33">
        <f t="shared" si="18"/>
        <v>-5.0093241566041193E-22</v>
      </c>
    </row>
    <row r="34" spans="2:17" x14ac:dyDescent="0.25">
      <c r="B34">
        <v>0.7</v>
      </c>
      <c r="C34">
        <f t="shared" si="36"/>
        <v>5.5782312762308939E-2</v>
      </c>
      <c r="D34">
        <f t="shared" si="8"/>
        <v>0.64421768723769102</v>
      </c>
      <c r="E34" s="5">
        <f t="shared" si="34"/>
        <v>0</v>
      </c>
      <c r="F34" s="5">
        <f t="shared" si="35"/>
        <v>0</v>
      </c>
      <c r="G34">
        <f t="shared" si="2"/>
        <v>0.64421768723769102</v>
      </c>
      <c r="H34" s="12">
        <f t="shared" si="9"/>
        <v>0.7</v>
      </c>
      <c r="I34">
        <f t="shared" si="10"/>
        <v>-5.716666666666665E-2</v>
      </c>
      <c r="J34">
        <f t="shared" si="11"/>
        <v>1.4005833333333329E-3</v>
      </c>
      <c r="K34">
        <f t="shared" si="12"/>
        <v>-1.6340138888888877E-5</v>
      </c>
      <c r="L34">
        <f t="shared" si="13"/>
        <v>1.1120372299382708E-7</v>
      </c>
      <c r="M34">
        <f t="shared" si="14"/>
        <v>-4.953620387906842E-10</v>
      </c>
      <c r="N34">
        <f t="shared" si="15"/>
        <v>1.555944865432277E-12</v>
      </c>
      <c r="O34">
        <f t="shared" si="16"/>
        <v>-3.6305380193419792E-15</v>
      </c>
      <c r="P34">
        <f t="shared" si="17"/>
        <v>6.540307461314594E-18</v>
      </c>
      <c r="Q34">
        <f t="shared" si="18"/>
        <v>-9.3706159533454701E-21</v>
      </c>
    </row>
    <row r="35" spans="2:17" x14ac:dyDescent="0.25">
      <c r="B35">
        <v>0.8</v>
      </c>
      <c r="C35">
        <f t="shared" si="36"/>
        <v>8.2643909100477142E-2</v>
      </c>
      <c r="D35">
        <f t="shared" si="8"/>
        <v>0.71735609089952279</v>
      </c>
      <c r="E35" s="5">
        <f t="shared" si="34"/>
        <v>0</v>
      </c>
      <c r="F35" s="5">
        <f t="shared" si="35"/>
        <v>0</v>
      </c>
      <c r="G35">
        <f t="shared" si="2"/>
        <v>0.7173560908995229</v>
      </c>
      <c r="H35" s="12">
        <f t="shared" si="9"/>
        <v>0.8</v>
      </c>
      <c r="I35">
        <f t="shared" si="10"/>
        <v>-8.5333333333333358E-2</v>
      </c>
      <c r="J35">
        <f t="shared" si="11"/>
        <v>2.7306666666666681E-3</v>
      </c>
      <c r="K35">
        <f t="shared" si="12"/>
        <v>-4.161015873015876E-5</v>
      </c>
      <c r="L35">
        <f t="shared" si="13"/>
        <v>3.6986807760141126E-7</v>
      </c>
      <c r="M35">
        <f t="shared" si="14"/>
        <v>-2.1519597242263934E-9</v>
      </c>
      <c r="N35">
        <f t="shared" si="15"/>
        <v>8.8285527147749498E-12</v>
      </c>
      <c r="O35">
        <f t="shared" si="16"/>
        <v>-2.6906065416456996E-14</v>
      </c>
      <c r="P35">
        <f t="shared" si="17"/>
        <v>6.3308389215192934E-17</v>
      </c>
      <c r="Q35">
        <f t="shared" si="18"/>
        <v>-1.1847183946702773E-19</v>
      </c>
    </row>
    <row r="36" spans="2:17" x14ac:dyDescent="0.25">
      <c r="B36">
        <v>0.9</v>
      </c>
      <c r="C36">
        <f t="shared" si="36"/>
        <v>0.11667309037251661</v>
      </c>
      <c r="D36">
        <f t="shared" si="8"/>
        <v>0.78332690962748341</v>
      </c>
      <c r="E36" s="5">
        <f t="shared" si="34"/>
        <v>0</v>
      </c>
      <c r="F36" s="5">
        <f t="shared" si="35"/>
        <v>0</v>
      </c>
      <c r="G36">
        <f t="shared" si="2"/>
        <v>0.78332690962748341</v>
      </c>
      <c r="H36" s="12">
        <f t="shared" si="9"/>
        <v>0.9</v>
      </c>
      <c r="I36">
        <f t="shared" si="10"/>
        <v>-0.12150000000000001</v>
      </c>
      <c r="J36">
        <f t="shared" si="11"/>
        <v>4.9207500000000015E-3</v>
      </c>
      <c r="K36">
        <f t="shared" si="12"/>
        <v>-9.4900178571428602E-5</v>
      </c>
      <c r="L36">
        <f t="shared" si="13"/>
        <v>1.0676270089285718E-6</v>
      </c>
      <c r="M36">
        <f t="shared" si="14"/>
        <v>-7.8616170657467568E-9</v>
      </c>
      <c r="N36">
        <f t="shared" si="15"/>
        <v>4.0819934764454326E-11</v>
      </c>
      <c r="O36">
        <f t="shared" si="16"/>
        <v>-1.5744831980575238E-13</v>
      </c>
      <c r="P36">
        <f t="shared" si="17"/>
        <v>4.6887183471565975E-16</v>
      </c>
      <c r="Q36">
        <f t="shared" si="18"/>
        <v>-1.1104859243265627E-18</v>
      </c>
    </row>
    <row r="37" spans="2:17" x14ac:dyDescent="0.25">
      <c r="B37">
        <v>1</v>
      </c>
      <c r="C37">
        <f t="shared" si="36"/>
        <v>0.1585290151921035</v>
      </c>
      <c r="D37">
        <f t="shared" si="8"/>
        <v>0.8414709848078965</v>
      </c>
      <c r="E37" s="5">
        <f t="shared" si="34"/>
        <v>0</v>
      </c>
      <c r="F37" s="6">
        <f t="shared" si="35"/>
        <v>0</v>
      </c>
      <c r="G37">
        <f t="shared" si="2"/>
        <v>0.8414709848078965</v>
      </c>
      <c r="H37" s="12">
        <f t="shared" si="9"/>
        <v>1</v>
      </c>
      <c r="I37">
        <f t="shared" si="10"/>
        <v>-0.16666666666666666</v>
      </c>
      <c r="J37">
        <f t="shared" si="11"/>
        <v>8.3333333333333332E-3</v>
      </c>
      <c r="K37">
        <f t="shared" si="12"/>
        <v>-1.9841269841269841E-4</v>
      </c>
      <c r="L37">
        <f t="shared" si="13"/>
        <v>2.7557319223985893E-6</v>
      </c>
      <c r="M37">
        <f t="shared" si="14"/>
        <v>-2.505210838544172E-8</v>
      </c>
      <c r="N37">
        <f t="shared" si="15"/>
        <v>1.6059043836821613E-10</v>
      </c>
      <c r="O37">
        <f t="shared" si="16"/>
        <v>-7.6471637318198164E-13</v>
      </c>
      <c r="P37">
        <f t="shared" si="17"/>
        <v>2.8114572543455206E-15</v>
      </c>
      <c r="Q37">
        <f t="shared" si="18"/>
        <v>-8.2206352466243295E-18</v>
      </c>
    </row>
    <row r="38" spans="2:17" x14ac:dyDescent="0.25">
      <c r="B38">
        <v>1.1000000000000001</v>
      </c>
      <c r="C38">
        <f t="shared" si="36"/>
        <v>0.20879263993856478</v>
      </c>
      <c r="D38">
        <f t="shared" si="8"/>
        <v>0.89120736006143542</v>
      </c>
      <c r="E38" s="5">
        <f t="shared" si="34"/>
        <v>0</v>
      </c>
      <c r="F38" s="6">
        <f t="shared" si="35"/>
        <v>0</v>
      </c>
      <c r="G38">
        <f t="shared" si="2"/>
        <v>0.89120736006143531</v>
      </c>
      <c r="H38" s="12">
        <f t="shared" si="9"/>
        <v>1.1000000000000001</v>
      </c>
      <c r="I38">
        <f t="shared" si="10"/>
        <v>-0.22183333333333341</v>
      </c>
      <c r="J38">
        <f t="shared" si="11"/>
        <v>1.3420916666666671E-2</v>
      </c>
      <c r="K38">
        <f t="shared" si="12"/>
        <v>-3.8665021825396849E-4</v>
      </c>
      <c r="L38">
        <f t="shared" si="13"/>
        <v>6.4978717234347482E-6</v>
      </c>
      <c r="M38">
        <f t="shared" si="14"/>
        <v>-7.1476588957782253E-8</v>
      </c>
      <c r="N38">
        <f t="shared" si="15"/>
        <v>5.5440174768536233E-10</v>
      </c>
      <c r="O38">
        <f t="shared" si="16"/>
        <v>-3.1944100699966118E-12</v>
      </c>
      <c r="P38">
        <f t="shared" si="17"/>
        <v>1.4210427149617282E-14</v>
      </c>
      <c r="Q38">
        <f t="shared" si="18"/>
        <v>-5.0276657459172268E-17</v>
      </c>
    </row>
    <row r="39" spans="2:17" x14ac:dyDescent="0.25">
      <c r="B39">
        <v>1.2</v>
      </c>
      <c r="C39">
        <f t="shared" si="36"/>
        <v>0.26796091403277367</v>
      </c>
      <c r="D39">
        <f t="shared" si="8"/>
        <v>0.93203908596722629</v>
      </c>
      <c r="E39" s="5">
        <f t="shared" si="34"/>
        <v>0</v>
      </c>
      <c r="F39" s="6">
        <f t="shared" si="35"/>
        <v>0</v>
      </c>
      <c r="G39">
        <f t="shared" si="2"/>
        <v>0.93203908596722629</v>
      </c>
      <c r="H39" s="12">
        <f t="shared" si="9"/>
        <v>1.2</v>
      </c>
      <c r="I39">
        <f t="shared" si="10"/>
        <v>-0.28799999999999998</v>
      </c>
      <c r="J39">
        <f t="shared" si="11"/>
        <v>2.0735999999999997E-2</v>
      </c>
      <c r="K39">
        <f t="shared" si="12"/>
        <v>-7.1094857142857133E-4</v>
      </c>
      <c r="L39">
        <f t="shared" si="13"/>
        <v>1.4218971428571427E-5</v>
      </c>
      <c r="M39">
        <f t="shared" si="14"/>
        <v>-1.8613926233766229E-7</v>
      </c>
      <c r="N39">
        <f t="shared" si="15"/>
        <v>1.718208575424575E-9</v>
      </c>
      <c r="O39">
        <f t="shared" si="16"/>
        <v>-1.1782001660054229E-11</v>
      </c>
      <c r="P39">
        <f t="shared" si="17"/>
        <v>6.237530290616944E-14</v>
      </c>
      <c r="Q39">
        <f t="shared" si="18"/>
        <v>-2.6263285434176605E-16</v>
      </c>
    </row>
    <row r="40" spans="2:17" x14ac:dyDescent="0.25">
      <c r="B40">
        <v>1.3</v>
      </c>
      <c r="C40">
        <f t="shared" si="36"/>
        <v>0.33644181458280709</v>
      </c>
      <c r="D40">
        <f t="shared" si="8"/>
        <v>0.96355818541719296</v>
      </c>
      <c r="E40" s="5">
        <f t="shared" si="34"/>
        <v>0</v>
      </c>
      <c r="F40" s="6">
        <f t="shared" si="35"/>
        <v>0</v>
      </c>
      <c r="G40">
        <f t="shared" si="2"/>
        <v>0.96355818541719296</v>
      </c>
      <c r="H40" s="12">
        <f t="shared" si="9"/>
        <v>1.3</v>
      </c>
      <c r="I40">
        <f t="shared" si="10"/>
        <v>-0.36616666666666675</v>
      </c>
      <c r="J40">
        <f t="shared" si="11"/>
        <v>3.0941083333333341E-2</v>
      </c>
      <c r="K40">
        <f t="shared" si="12"/>
        <v>-1.2450102579365085E-3</v>
      </c>
      <c r="L40">
        <f t="shared" si="13"/>
        <v>2.9223157443231932E-5</v>
      </c>
      <c r="M40">
        <f t="shared" si="14"/>
        <v>-4.4897396435510883E-7</v>
      </c>
      <c r="N40">
        <f t="shared" si="15"/>
        <v>4.8638846138470136E-9</v>
      </c>
      <c r="O40">
        <f t="shared" si="16"/>
        <v>-3.9142690463816444E-11</v>
      </c>
      <c r="P40">
        <f t="shared" si="17"/>
        <v>2.4320274589650656E-13</v>
      </c>
      <c r="Q40">
        <f t="shared" si="18"/>
        <v>-1.201791346681568E-15</v>
      </c>
    </row>
    <row r="41" spans="2:17" x14ac:dyDescent="0.25">
      <c r="B41">
        <v>1.4</v>
      </c>
      <c r="C41">
        <f t="shared" si="36"/>
        <v>0.41455027001153966</v>
      </c>
      <c r="D41">
        <f t="shared" si="8"/>
        <v>0.98544972998846014</v>
      </c>
      <c r="E41" s="5">
        <f t="shared" si="34"/>
        <v>0</v>
      </c>
      <c r="F41" s="6">
        <f t="shared" si="35"/>
        <v>0</v>
      </c>
      <c r="G41">
        <f t="shared" si="2"/>
        <v>0.98544972998846025</v>
      </c>
      <c r="H41" s="12">
        <f t="shared" si="9"/>
        <v>1.4</v>
      </c>
      <c r="I41">
        <f t="shared" si="10"/>
        <v>-0.4573333333333332</v>
      </c>
      <c r="J41">
        <f t="shared" si="11"/>
        <v>4.4818666666666652E-2</v>
      </c>
      <c r="K41">
        <f t="shared" si="12"/>
        <v>-2.0915377777777763E-3</v>
      </c>
      <c r="L41">
        <f t="shared" si="13"/>
        <v>5.6936306172839467E-5</v>
      </c>
      <c r="M41">
        <f t="shared" si="14"/>
        <v>-1.0145014554433212E-6</v>
      </c>
      <c r="N41">
        <f t="shared" si="15"/>
        <v>1.2746300337621213E-8</v>
      </c>
      <c r="O41">
        <f t="shared" si="16"/>
        <v>-1.1896546981779797E-10</v>
      </c>
      <c r="P41">
        <f t="shared" si="17"/>
        <v>8.5725117956942646E-13</v>
      </c>
      <c r="Q41">
        <f t="shared" si="18"/>
        <v>-4.9129014969475898E-15</v>
      </c>
    </row>
    <row r="42" spans="2:17" x14ac:dyDescent="0.25">
      <c r="B42">
        <v>1.5</v>
      </c>
      <c r="C42">
        <f t="shared" si="36"/>
        <v>0.50250501339594555</v>
      </c>
      <c r="D42">
        <f t="shared" si="8"/>
        <v>0.99749498660405445</v>
      </c>
      <c r="E42" s="5">
        <f t="shared" si="34"/>
        <v>0</v>
      </c>
      <c r="F42" s="6">
        <f t="shared" si="35"/>
        <v>0</v>
      </c>
      <c r="G42">
        <f t="shared" si="2"/>
        <v>0.99749498660405445</v>
      </c>
      <c r="H42" s="12">
        <f t="shared" si="9"/>
        <v>1.5</v>
      </c>
      <c r="I42">
        <f t="shared" si="10"/>
        <v>-0.5625</v>
      </c>
      <c r="J42">
        <f t="shared" si="11"/>
        <v>6.3281249999999997E-2</v>
      </c>
      <c r="K42">
        <f t="shared" si="12"/>
        <v>-3.3900669642857144E-3</v>
      </c>
      <c r="L42">
        <f t="shared" si="13"/>
        <v>1.0593959263392857E-4</v>
      </c>
      <c r="M42">
        <f t="shared" si="14"/>
        <v>-2.1669462129667207E-6</v>
      </c>
      <c r="N42">
        <f t="shared" si="15"/>
        <v>3.1254031917789239E-8</v>
      </c>
      <c r="O42">
        <f t="shared" si="16"/>
        <v>-3.3486462769059901E-10</v>
      </c>
      <c r="P42">
        <f t="shared" si="17"/>
        <v>2.7700198981759111E-12</v>
      </c>
      <c r="Q42">
        <f t="shared" si="18"/>
        <v>-1.8223815119578361E-14</v>
      </c>
    </row>
    <row r="43" spans="2:17" x14ac:dyDescent="0.25">
      <c r="B43">
        <v>1.6</v>
      </c>
      <c r="C43">
        <f>B43-G43</f>
        <v>0.60042639695849531</v>
      </c>
      <c r="D43">
        <f t="shared" si="8"/>
        <v>0.99957360304150511</v>
      </c>
      <c r="E43" s="5">
        <f t="shared" si="34"/>
        <v>0</v>
      </c>
      <c r="F43" s="6">
        <f t="shared" si="35"/>
        <v>0</v>
      </c>
      <c r="G43">
        <f t="shared" si="2"/>
        <v>0.99957360304150478</v>
      </c>
      <c r="H43" s="12">
        <f t="shared" si="9"/>
        <v>1.6</v>
      </c>
      <c r="I43">
        <f t="shared" si="10"/>
        <v>-0.68266666666666687</v>
      </c>
      <c r="J43">
        <f t="shared" si="11"/>
        <v>8.738133333333338E-2</v>
      </c>
      <c r="K43">
        <f t="shared" si="12"/>
        <v>-5.3261003174603213E-3</v>
      </c>
      <c r="L43">
        <f t="shared" si="13"/>
        <v>1.8937245573192257E-4</v>
      </c>
      <c r="M43">
        <f t="shared" si="14"/>
        <v>-4.4072135152156537E-6</v>
      </c>
      <c r="N43">
        <f t="shared" si="15"/>
        <v>7.2323503839436389E-8</v>
      </c>
      <c r="O43">
        <f t="shared" si="16"/>
        <v>-8.8165795156646284E-10</v>
      </c>
      <c r="P43">
        <f t="shared" si="17"/>
        <v>8.2979571912137682E-12</v>
      </c>
      <c r="Q43">
        <f t="shared" si="18"/>
        <v>-6.2113363770489036E-14</v>
      </c>
    </row>
    <row r="44" spans="2:17" x14ac:dyDescent="0.25">
      <c r="B44">
        <v>1.7</v>
      </c>
      <c r="C44">
        <f t="shared" si="36"/>
        <v>0.70833518954753261</v>
      </c>
      <c r="D44">
        <f t="shared" si="8"/>
        <v>0.99166481045246857</v>
      </c>
      <c r="E44" s="5">
        <f t="shared" si="34"/>
        <v>1.2212453270876722E-15</v>
      </c>
      <c r="F44" s="6">
        <f t="shared" si="35"/>
        <v>1.2315101980178692E-15</v>
      </c>
      <c r="G44">
        <f t="shared" si="2"/>
        <v>0.99166481045246735</v>
      </c>
      <c r="H44" s="12">
        <f t="shared" si="9"/>
        <v>1.7</v>
      </c>
      <c r="I44">
        <f t="shared" si="10"/>
        <v>-0.81883333333333319</v>
      </c>
      <c r="J44">
        <f t="shared" si="11"/>
        <v>0.11832141666666664</v>
      </c>
      <c r="K44">
        <f t="shared" si="12"/>
        <v>-8.1416403373015846E-3</v>
      </c>
      <c r="L44">
        <f t="shared" si="13"/>
        <v>3.2679639687224413E-4</v>
      </c>
      <c r="M44">
        <f t="shared" si="14"/>
        <v>-8.5858326087344129E-6</v>
      </c>
      <c r="N44">
        <f t="shared" si="15"/>
        <v>1.5905805281565675E-7</v>
      </c>
      <c r="O44">
        <f t="shared" si="16"/>
        <v>-2.1889417744630852E-9</v>
      </c>
      <c r="P44">
        <f t="shared" si="17"/>
        <v>2.3257506353670283E-11</v>
      </c>
      <c r="Q44">
        <f t="shared" si="18"/>
        <v>-1.9653272912896816E-13</v>
      </c>
    </row>
    <row r="45" spans="2:17" x14ac:dyDescent="0.25">
      <c r="B45">
        <v>1.8</v>
      </c>
      <c r="C45">
        <f t="shared" si="36"/>
        <v>0.82615236912180934</v>
      </c>
      <c r="D45">
        <f t="shared" si="8"/>
        <v>0.97384763087819515</v>
      </c>
      <c r="E45" s="5">
        <f t="shared" si="34"/>
        <v>4.4408920985006262E-15</v>
      </c>
      <c r="F45" s="6">
        <f t="shared" si="35"/>
        <v>4.5601508466944918E-15</v>
      </c>
      <c r="G45">
        <f t="shared" si="2"/>
        <v>0.97384763087819071</v>
      </c>
      <c r="H45" s="12">
        <f t="shared" si="9"/>
        <v>1.8</v>
      </c>
      <c r="I45">
        <f t="shared" si="10"/>
        <v>-0.97200000000000009</v>
      </c>
      <c r="J45">
        <f t="shared" si="11"/>
        <v>0.15746400000000005</v>
      </c>
      <c r="K45">
        <f t="shared" si="12"/>
        <v>-1.2147222857142861E-2</v>
      </c>
      <c r="L45">
        <f t="shared" si="13"/>
        <v>5.4662502857142877E-4</v>
      </c>
      <c r="M45">
        <f t="shared" si="14"/>
        <v>-1.6100591750649358E-5</v>
      </c>
      <c r="N45">
        <f t="shared" si="15"/>
        <v>3.3439690559040984E-7</v>
      </c>
      <c r="O45">
        <f t="shared" si="16"/>
        <v>-5.159266543394894E-9</v>
      </c>
      <c r="P45">
        <f t="shared" si="17"/>
        <v>6.1455969119850955E-11</v>
      </c>
      <c r="Q45">
        <f t="shared" si="18"/>
        <v>-5.8221444429332492E-13</v>
      </c>
    </row>
    <row r="46" spans="2:17" x14ac:dyDescent="0.25">
      <c r="B46">
        <v>1.9</v>
      </c>
      <c r="C46">
        <f t="shared" si="36"/>
        <v>0.95369991231259921</v>
      </c>
      <c r="D46">
        <f t="shared" si="8"/>
        <v>0.94630008768741447</v>
      </c>
      <c r="E46" s="5">
        <f t="shared" si="34"/>
        <v>1.3766765505351941E-14</v>
      </c>
      <c r="F46" s="6">
        <f t="shared" si="35"/>
        <v>1.4547991366032117E-14</v>
      </c>
      <c r="G46">
        <f t="shared" si="2"/>
        <v>0.9463000876874007</v>
      </c>
      <c r="H46" s="12">
        <f t="shared" si="9"/>
        <v>1.9</v>
      </c>
      <c r="I46">
        <f t="shared" si="10"/>
        <v>-1.1431666666666664</v>
      </c>
      <c r="J46">
        <f t="shared" si="11"/>
        <v>0.20634158333333333</v>
      </c>
      <c r="K46">
        <f t="shared" si="12"/>
        <v>-1.7735550376984127E-2</v>
      </c>
      <c r="L46">
        <f t="shared" si="13"/>
        <v>8.8924078973489848E-4</v>
      </c>
      <c r="M46">
        <f t="shared" si="14"/>
        <v>-2.9183265917663487E-5</v>
      </c>
      <c r="N46">
        <f t="shared" si="15"/>
        <v>6.7533070488952045E-7</v>
      </c>
      <c r="O46">
        <f t="shared" si="16"/>
        <v>-1.1609256403100803E-8</v>
      </c>
      <c r="P46">
        <f t="shared" si="17"/>
        <v>1.5407873387938934E-10</v>
      </c>
      <c r="Q46">
        <f t="shared" si="18"/>
        <v>-1.6263866353935541E-12</v>
      </c>
    </row>
    <row r="47" spans="2:17" x14ac:dyDescent="0.25">
      <c r="B47">
        <v>2</v>
      </c>
      <c r="C47">
        <f t="shared" si="36"/>
        <v>1.0907025731743589</v>
      </c>
      <c r="D47">
        <f t="shared" si="8"/>
        <v>0.90929742682568171</v>
      </c>
      <c r="E47" s="5">
        <f t="shared" si="34"/>
        <v>4.0745185003743245E-14</v>
      </c>
      <c r="F47" s="6">
        <f t="shared" si="35"/>
        <v>4.4809524146552286E-14</v>
      </c>
      <c r="G47">
        <f t="shared" si="2"/>
        <v>0.90929742682564096</v>
      </c>
      <c r="H47" s="12">
        <f t="shared" si="9"/>
        <v>2</v>
      </c>
      <c r="I47">
        <f t="shared" si="10"/>
        <v>-1.3333333333333333</v>
      </c>
      <c r="J47">
        <f t="shared" si="11"/>
        <v>0.26666666666666666</v>
      </c>
      <c r="K47">
        <f t="shared" si="12"/>
        <v>-2.5396825396825397E-2</v>
      </c>
      <c r="L47">
        <f t="shared" si="13"/>
        <v>1.4109347442680777E-3</v>
      </c>
      <c r="M47">
        <f t="shared" si="14"/>
        <v>-5.1306717973384643E-5</v>
      </c>
      <c r="N47">
        <f t="shared" si="15"/>
        <v>1.3155568711124266E-6</v>
      </c>
      <c r="O47">
        <f t="shared" si="16"/>
        <v>-2.5058226116427174E-8</v>
      </c>
      <c r="P47">
        <f t="shared" si="17"/>
        <v>3.6850332524157608E-10</v>
      </c>
      <c r="Q47">
        <f t="shared" si="18"/>
        <v>-4.3099804121821765E-12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7F65-E65D-4E94-8DA2-17EBA35A3ABD}">
  <dimension ref="B2:S47"/>
  <sheetViews>
    <sheetView zoomScale="85" zoomScaleNormal="85" workbookViewId="0">
      <selection activeCell="B19" sqref="B19"/>
    </sheetView>
  </sheetViews>
  <sheetFormatPr defaultColWidth="8.81640625" defaultRowHeight="14" x14ac:dyDescent="0.25"/>
  <cols>
    <col min="1" max="1" width="2.36328125" customWidth="1"/>
    <col min="2" max="2" width="8" customWidth="1"/>
    <col min="3" max="3" width="13" customWidth="1"/>
    <col min="4" max="4" width="13.7265625" customWidth="1"/>
    <col min="5" max="5" width="13.36328125" customWidth="1"/>
    <col min="6" max="6" width="8.08984375" customWidth="1"/>
    <col min="7" max="7" width="13.6328125" customWidth="1"/>
    <col min="8" max="8" width="5" style="1" customWidth="1"/>
    <col min="9" max="14" width="14.6328125" style="1" customWidth="1"/>
    <col min="15" max="18" width="14.6328125" customWidth="1"/>
  </cols>
  <sheetData>
    <row r="2" spans="2:19" s="2" customFormat="1" x14ac:dyDescent="0.25">
      <c r="B2" s="4" t="s">
        <v>0</v>
      </c>
      <c r="C2" s="14" t="s">
        <v>31</v>
      </c>
      <c r="D2" s="4" t="s">
        <v>20</v>
      </c>
      <c r="E2" s="4" t="s">
        <v>2</v>
      </c>
      <c r="F2" s="4" t="s">
        <v>3</v>
      </c>
      <c r="G2" s="4" t="s">
        <v>1</v>
      </c>
      <c r="H2" s="10">
        <v>1</v>
      </c>
      <c r="I2" s="9" t="s">
        <v>21</v>
      </c>
      <c r="J2" s="9" t="s">
        <v>15</v>
      </c>
      <c r="K2" s="9" t="s">
        <v>22</v>
      </c>
      <c r="L2" s="9" t="s">
        <v>16</v>
      </c>
      <c r="M2" s="9" t="s">
        <v>23</v>
      </c>
      <c r="N2" s="9" t="s">
        <v>17</v>
      </c>
      <c r="O2" s="9" t="s">
        <v>24</v>
      </c>
      <c r="P2" s="9" t="s">
        <v>18</v>
      </c>
      <c r="Q2" s="9" t="s">
        <v>25</v>
      </c>
      <c r="R2" s="9" t="s">
        <v>19</v>
      </c>
      <c r="S2" s="3"/>
    </row>
    <row r="3" spans="2:19" x14ac:dyDescent="0.25">
      <c r="B3">
        <v>-2</v>
      </c>
      <c r="C3">
        <f>B3-D3</f>
        <v>-1.5838531634528576</v>
      </c>
      <c r="D3">
        <f>COS(B3)</f>
        <v>-0.41614683654714241</v>
      </c>
      <c r="E3" s="7">
        <f t="shared" ref="E3:E22" si="0">D3-G3</f>
        <v>-3.6637359812630166E-15</v>
      </c>
      <c r="F3" s="8">
        <f t="shared" ref="F3:F22" si="1">E3/D3</f>
        <v>8.8039500952639755E-15</v>
      </c>
      <c r="G3">
        <f t="shared" ref="G3:G47" si="2">SUM(H3:R3)</f>
        <v>-0.41614683654713874</v>
      </c>
      <c r="H3" s="11">
        <v>1</v>
      </c>
      <c r="I3">
        <f>(-1)*B3^2/FACT(2)</f>
        <v>-2</v>
      </c>
      <c r="J3">
        <f>B3^4/FACT(4)</f>
        <v>0.66666666666666663</v>
      </c>
      <c r="K3">
        <f>(-1)*B3^6/FACT(6)</f>
        <v>-8.8888888888888892E-2</v>
      </c>
      <c r="L3">
        <f>B3^8/FACT(8)</f>
        <v>6.3492063492063492E-3</v>
      </c>
      <c r="M3">
        <f>(-1)*B3^10/FACT(10)</f>
        <v>-2.821869488536155E-4</v>
      </c>
      <c r="N3">
        <f>B3^12/FACT(12)</f>
        <v>8.5511196622307738E-6</v>
      </c>
      <c r="O3">
        <f>(-1)*B3^14/FACT(14)</f>
        <v>-1.8793669587320381E-7</v>
      </c>
      <c r="P3">
        <f>B3^16/FACT(16)</f>
        <v>3.1322782645533968E-9</v>
      </c>
      <c r="Q3">
        <f>(-1)*B3^18/FACT(18)</f>
        <v>-4.0944813915730674E-11</v>
      </c>
      <c r="R3">
        <f>B3^20/FACT(20)</f>
        <v>4.3099804121821766E-13</v>
      </c>
      <c r="S3" s="1"/>
    </row>
    <row r="4" spans="2:19" x14ac:dyDescent="0.25">
      <c r="B4">
        <v>-1.9</v>
      </c>
      <c r="C4">
        <f t="shared" ref="C4:C47" si="3">B4-D4</f>
        <v>-1.5767104331364965</v>
      </c>
      <c r="D4">
        <f t="shared" ref="D4:D47" si="4">COS(B4)</f>
        <v>-0.32328956686350335</v>
      </c>
      <c r="E4" s="5">
        <f t="shared" si="0"/>
        <v>-1.1102230246251565E-15</v>
      </c>
      <c r="F4" s="6">
        <f t="shared" si="1"/>
        <v>3.434144304118251E-15</v>
      </c>
      <c r="G4">
        <f t="shared" si="2"/>
        <v>-0.32328956686350224</v>
      </c>
      <c r="H4" s="11">
        <v>1</v>
      </c>
      <c r="I4">
        <f t="shared" ref="I4:I47" si="5">(-1)*B4^2/FACT(2)</f>
        <v>-1.8049999999999999</v>
      </c>
      <c r="J4">
        <f t="shared" ref="J4:J47" si="6">B4^4/FACT(4)</f>
        <v>0.54300416666666662</v>
      </c>
      <c r="K4">
        <f t="shared" ref="K4:K47" si="7">(-1)*B4^6/FACT(6)</f>
        <v>-6.5341501388888876E-2</v>
      </c>
      <c r="L4">
        <f t="shared" ref="L4:L47" si="8">B4^8/FACT(8)</f>
        <v>4.2121932145337297E-3</v>
      </c>
      <c r="M4">
        <f t="shared" ref="M4:M47" si="9">(-1)*B4^10/FACT(10)</f>
        <v>-1.6895575004963073E-4</v>
      </c>
      <c r="N4">
        <f t="shared" ref="N4:N47" si="10">B4^12/FACT(12)</f>
        <v>4.6206837702967189E-6</v>
      </c>
      <c r="O4">
        <f t="shared" ref="O4:O47" si="11">(-1)*B4^14/FACT(14)</f>
        <v>-9.165202423500634E-8</v>
      </c>
      <c r="P4">
        <f t="shared" ref="P4:P47" si="12">B4^16/FACT(16)</f>
        <v>1.3785991978682205E-9</v>
      </c>
      <c r="Q4">
        <f t="shared" ref="Q4:Q47" si="13">(-1)*B4^18/FACT(18)</f>
        <v>-1.6263866353935539E-11</v>
      </c>
      <c r="R4">
        <f t="shared" ref="R4:R47" si="14">B4^20/FACT(20)</f>
        <v>1.5450673036238764E-13</v>
      </c>
      <c r="S4" s="1"/>
    </row>
    <row r="5" spans="2:19" x14ac:dyDescent="0.25">
      <c r="B5">
        <v>-1.8</v>
      </c>
      <c r="C5">
        <f t="shared" si="3"/>
        <v>-1.572797905306913</v>
      </c>
      <c r="D5">
        <f t="shared" si="4"/>
        <v>-0.22720209469308711</v>
      </c>
      <c r="E5" s="5">
        <f t="shared" si="0"/>
        <v>-3.8857805861880479E-16</v>
      </c>
      <c r="F5" s="6">
        <f t="shared" si="1"/>
        <v>1.7102749829120644E-15</v>
      </c>
      <c r="G5">
        <f t="shared" si="2"/>
        <v>-0.22720209469308672</v>
      </c>
      <c r="H5" s="11">
        <v>1</v>
      </c>
      <c r="I5">
        <f t="shared" si="5"/>
        <v>-1.62</v>
      </c>
      <c r="J5">
        <f t="shared" si="6"/>
        <v>0.43740000000000007</v>
      </c>
      <c r="K5">
        <f t="shared" si="7"/>
        <v>-4.7239200000000016E-2</v>
      </c>
      <c r="L5">
        <f t="shared" si="8"/>
        <v>2.733125142857144E-3</v>
      </c>
      <c r="M5">
        <f t="shared" si="9"/>
        <v>-9.8392505142857193E-5</v>
      </c>
      <c r="N5">
        <f t="shared" si="10"/>
        <v>2.4150887625974039E-6</v>
      </c>
      <c r="O5">
        <f t="shared" si="11"/>
        <v>-4.2993887861624117E-8</v>
      </c>
      <c r="P5">
        <f t="shared" si="12"/>
        <v>5.8041748613192565E-10</v>
      </c>
      <c r="Q5">
        <f t="shared" si="13"/>
        <v>-6.1455969119850948E-12</v>
      </c>
      <c r="R5">
        <f t="shared" si="14"/>
        <v>5.2399299986399245E-14</v>
      </c>
      <c r="S5" s="1"/>
    </row>
    <row r="6" spans="2:19" x14ac:dyDescent="0.25">
      <c r="B6">
        <v>-1.7</v>
      </c>
      <c r="C6">
        <f t="shared" si="3"/>
        <v>-1.5711555057044753</v>
      </c>
      <c r="D6">
        <f t="shared" si="4"/>
        <v>-0.12884449429552464</v>
      </c>
      <c r="E6" s="5">
        <f t="shared" si="0"/>
        <v>0</v>
      </c>
      <c r="F6" s="6">
        <f t="shared" si="1"/>
        <v>0</v>
      </c>
      <c r="G6">
        <f t="shared" si="2"/>
        <v>-0.12884449429552447</v>
      </c>
      <c r="H6" s="11">
        <v>1</v>
      </c>
      <c r="I6">
        <f t="shared" si="5"/>
        <v>-1.4449999999999998</v>
      </c>
      <c r="J6">
        <f t="shared" si="6"/>
        <v>0.34800416666666661</v>
      </c>
      <c r="K6">
        <f t="shared" si="7"/>
        <v>-3.3524401388888875E-2</v>
      </c>
      <c r="L6">
        <f t="shared" si="8"/>
        <v>1.7300985716765867E-3</v>
      </c>
      <c r="M6">
        <f t="shared" si="9"/>
        <v>-5.5555387468281499E-5</v>
      </c>
      <c r="N6">
        <f t="shared" si="10"/>
        <v>1.2163262862373752E-6</v>
      </c>
      <c r="O6">
        <f t="shared" si="11"/>
        <v>-1.9314192127615461E-8</v>
      </c>
      <c r="P6">
        <f t="shared" si="12"/>
        <v>2.3257506353670284E-10</v>
      </c>
      <c r="Q6">
        <f t="shared" si="13"/>
        <v>-2.1965422667355266E-12</v>
      </c>
      <c r="R6">
        <f t="shared" si="14"/>
        <v>1.6705281975962294E-14</v>
      </c>
      <c r="S6" s="1"/>
    </row>
    <row r="7" spans="2:19" x14ac:dyDescent="0.25">
      <c r="B7">
        <v>-1.6</v>
      </c>
      <c r="C7">
        <f t="shared" si="3"/>
        <v>-1.5708004776987112</v>
      </c>
      <c r="D7">
        <f t="shared" si="4"/>
        <v>-2.9199522301288815E-2</v>
      </c>
      <c r="E7" s="5">
        <f t="shared" si="0"/>
        <v>0</v>
      </c>
      <c r="F7" s="6">
        <f t="shared" si="1"/>
        <v>0</v>
      </c>
      <c r="G7">
        <f t="shared" si="2"/>
        <v>-2.9199522301288836E-2</v>
      </c>
      <c r="H7" s="11">
        <v>1</v>
      </c>
      <c r="I7">
        <f t="shared" si="5"/>
        <v>-1.2800000000000002</v>
      </c>
      <c r="J7">
        <f t="shared" si="6"/>
        <v>0.27306666666666679</v>
      </c>
      <c r="K7">
        <f t="shared" si="7"/>
        <v>-2.3301688888888901E-2</v>
      </c>
      <c r="L7">
        <f t="shared" si="8"/>
        <v>1.0652200634920644E-3</v>
      </c>
      <c r="M7">
        <f t="shared" si="9"/>
        <v>-3.0299592917107616E-5</v>
      </c>
      <c r="N7">
        <f t="shared" si="10"/>
        <v>5.8762846869542064E-7</v>
      </c>
      <c r="O7">
        <f t="shared" si="11"/>
        <v>-8.2655432959355862E-9</v>
      </c>
      <c r="P7">
        <f t="shared" si="12"/>
        <v>8.8165795156646282E-11</v>
      </c>
      <c r="Q7">
        <f t="shared" si="13"/>
        <v>-7.3759619477455723E-13</v>
      </c>
      <c r="R7">
        <f t="shared" si="14"/>
        <v>4.9690691016391246E-15</v>
      </c>
      <c r="S7" s="1"/>
    </row>
    <row r="8" spans="2:19" x14ac:dyDescent="0.25">
      <c r="B8" s="15">
        <v>-1.5</v>
      </c>
      <c r="C8">
        <f t="shared" si="3"/>
        <v>-1.5707372016677028</v>
      </c>
      <c r="D8" s="15">
        <f>COS(B8)</f>
        <v>7.0737201667702906E-2</v>
      </c>
      <c r="E8" s="5">
        <f t="shared" si="0"/>
        <v>0</v>
      </c>
      <c r="F8" s="6">
        <f t="shared" si="1"/>
        <v>0</v>
      </c>
      <c r="G8">
        <f t="shared" si="2"/>
        <v>7.0737201667702906E-2</v>
      </c>
      <c r="H8" s="11">
        <v>1</v>
      </c>
      <c r="I8">
        <f t="shared" si="5"/>
        <v>-1.125</v>
      </c>
      <c r="J8">
        <f t="shared" si="6"/>
        <v>0.2109375</v>
      </c>
      <c r="K8">
        <f t="shared" si="7"/>
        <v>-1.5820312499999999E-2</v>
      </c>
      <c r="L8">
        <f t="shared" si="8"/>
        <v>6.3563755580357145E-4</v>
      </c>
      <c r="M8">
        <f t="shared" si="9"/>
        <v>-1.5890938895089285E-5</v>
      </c>
      <c r="N8">
        <f t="shared" si="10"/>
        <v>2.7086827662084009E-7</v>
      </c>
      <c r="O8">
        <f t="shared" si="11"/>
        <v>-3.34864627690599E-9</v>
      </c>
      <c r="P8">
        <f t="shared" si="12"/>
        <v>3.1393558845993659E-11</v>
      </c>
      <c r="Q8">
        <f t="shared" si="13"/>
        <v>-2.3083499151465924E-13</v>
      </c>
      <c r="R8">
        <f t="shared" si="14"/>
        <v>1.3667861339683772E-15</v>
      </c>
      <c r="S8" s="1"/>
    </row>
    <row r="9" spans="2:19" x14ac:dyDescent="0.25">
      <c r="B9">
        <v>-1.4</v>
      </c>
      <c r="C9">
        <f t="shared" si="3"/>
        <v>-1.5699671429002409</v>
      </c>
      <c r="D9">
        <f t="shared" si="4"/>
        <v>0.16996714290024104</v>
      </c>
      <c r="E9" s="5">
        <f t="shared" si="0"/>
        <v>0</v>
      </c>
      <c r="F9" s="6">
        <f t="shared" si="1"/>
        <v>0</v>
      </c>
      <c r="G9">
        <f t="shared" si="2"/>
        <v>0.16996714290024101</v>
      </c>
      <c r="H9" s="11">
        <v>1</v>
      </c>
      <c r="I9">
        <f t="shared" si="5"/>
        <v>-0.97999999999999987</v>
      </c>
      <c r="J9">
        <f t="shared" si="6"/>
        <v>0.16006666666666661</v>
      </c>
      <c r="K9">
        <f t="shared" si="7"/>
        <v>-1.0457688888888884E-2</v>
      </c>
      <c r="L9">
        <f t="shared" si="8"/>
        <v>3.6601911111111091E-4</v>
      </c>
      <c r="M9">
        <f t="shared" si="9"/>
        <v>-7.9710828641975259E-6</v>
      </c>
      <c r="N9">
        <f t="shared" si="10"/>
        <v>1.1835850313505413E-7</v>
      </c>
      <c r="O9">
        <f t="shared" si="11"/>
        <v>-1.2746300337621213E-9</v>
      </c>
      <c r="P9">
        <f t="shared" si="12"/>
        <v>1.0409478609057323E-11</v>
      </c>
      <c r="Q9">
        <f t="shared" si="13"/>
        <v>-6.6675091744288718E-14</v>
      </c>
      <c r="R9">
        <f t="shared" si="14"/>
        <v>3.4390310478633127E-16</v>
      </c>
      <c r="S9" s="1"/>
    </row>
    <row r="10" spans="2:19" x14ac:dyDescent="0.25">
      <c r="B10">
        <v>-1.3</v>
      </c>
      <c r="C10">
        <f t="shared" si="3"/>
        <v>-1.5674988286245874</v>
      </c>
      <c r="D10">
        <f t="shared" si="4"/>
        <v>0.26749882862458735</v>
      </c>
      <c r="E10" s="5">
        <f t="shared" si="0"/>
        <v>0</v>
      </c>
      <c r="F10" s="6">
        <f t="shared" si="1"/>
        <v>0</v>
      </c>
      <c r="G10">
        <f t="shared" si="2"/>
        <v>0.26749882862458735</v>
      </c>
      <c r="H10" s="11">
        <v>1</v>
      </c>
      <c r="I10">
        <f t="shared" si="5"/>
        <v>-0.84500000000000008</v>
      </c>
      <c r="J10">
        <f t="shared" si="6"/>
        <v>0.11900416666666669</v>
      </c>
      <c r="K10">
        <f t="shared" si="7"/>
        <v>-6.7039013888888915E-3</v>
      </c>
      <c r="L10">
        <f t="shared" si="8"/>
        <v>2.0231416691468261E-4</v>
      </c>
      <c r="M10">
        <f t="shared" si="9"/>
        <v>-3.7990104676201513E-6</v>
      </c>
      <c r="N10">
        <f t="shared" si="10"/>
        <v>4.8638846138470127E-8</v>
      </c>
      <c r="O10">
        <f t="shared" si="11"/>
        <v>-4.5164642842865122E-10</v>
      </c>
      <c r="P10">
        <f t="shared" si="12"/>
        <v>3.1803436001850859E-12</v>
      </c>
      <c r="Q10">
        <f t="shared" si="13"/>
        <v>-1.7564642759192143E-14</v>
      </c>
      <c r="R10">
        <f t="shared" si="14"/>
        <v>7.8116437534301904E-17</v>
      </c>
      <c r="S10" s="1"/>
    </row>
    <row r="11" spans="2:19" x14ac:dyDescent="0.25">
      <c r="B11">
        <v>-1.2</v>
      </c>
      <c r="C11">
        <f t="shared" si="3"/>
        <v>-1.5623577544766736</v>
      </c>
      <c r="D11">
        <f t="shared" si="4"/>
        <v>0.36235775447667362</v>
      </c>
      <c r="E11" s="5">
        <f t="shared" si="0"/>
        <v>0</v>
      </c>
      <c r="F11" s="6">
        <f t="shared" si="1"/>
        <v>0</v>
      </c>
      <c r="G11">
        <f t="shared" si="2"/>
        <v>0.36235775447667351</v>
      </c>
      <c r="H11" s="11">
        <v>1</v>
      </c>
      <c r="I11">
        <f t="shared" si="5"/>
        <v>-0.72</v>
      </c>
      <c r="J11">
        <f t="shared" si="6"/>
        <v>8.6399999999999991E-2</v>
      </c>
      <c r="K11">
        <f t="shared" si="7"/>
        <v>-4.1471999999999993E-3</v>
      </c>
      <c r="L11">
        <f t="shared" si="8"/>
        <v>1.066422857142857E-4</v>
      </c>
      <c r="M11">
        <f t="shared" si="9"/>
        <v>-1.7062765714285713E-6</v>
      </c>
      <c r="N11">
        <f t="shared" si="10"/>
        <v>1.8613926233766231E-8</v>
      </c>
      <c r="O11">
        <f t="shared" si="11"/>
        <v>-1.4727502075067786E-10</v>
      </c>
      <c r="P11">
        <f t="shared" si="12"/>
        <v>8.83650124504067E-13</v>
      </c>
      <c r="Q11">
        <f t="shared" si="13"/>
        <v>-4.1583535270779625E-15</v>
      </c>
      <c r="R11">
        <f t="shared" si="14"/>
        <v>1.5757971260505964E-17</v>
      </c>
      <c r="S11" s="1"/>
    </row>
    <row r="12" spans="2:19" x14ac:dyDescent="0.25">
      <c r="B12">
        <v>-1.1000000000000001</v>
      </c>
      <c r="C12">
        <f t="shared" si="3"/>
        <v>-1.5535961214255773</v>
      </c>
      <c r="D12">
        <f t="shared" si="4"/>
        <v>0.45359612142557731</v>
      </c>
      <c r="E12" s="5">
        <f t="shared" si="0"/>
        <v>0</v>
      </c>
      <c r="F12" s="6">
        <f t="shared" si="1"/>
        <v>0</v>
      </c>
      <c r="G12">
        <f t="shared" si="2"/>
        <v>0.45359612142557726</v>
      </c>
      <c r="H12" s="11">
        <v>1</v>
      </c>
      <c r="I12">
        <f t="shared" si="5"/>
        <v>-0.60500000000000009</v>
      </c>
      <c r="J12">
        <f t="shared" si="6"/>
        <v>6.1004166666666686E-2</v>
      </c>
      <c r="K12">
        <f t="shared" si="7"/>
        <v>-2.4605013888888902E-3</v>
      </c>
      <c r="L12">
        <f t="shared" si="8"/>
        <v>5.3164405009920662E-5</v>
      </c>
      <c r="M12">
        <f t="shared" si="9"/>
        <v>-7.1476588957782243E-7</v>
      </c>
      <c r="N12">
        <f t="shared" si="10"/>
        <v>6.5520206544633728E-9</v>
      </c>
      <c r="O12">
        <f t="shared" si="11"/>
        <v>-4.3560137318135619E-11</v>
      </c>
      <c r="P12">
        <f t="shared" si="12"/>
        <v>2.1961569231226709E-13</v>
      </c>
      <c r="Q12">
        <f t="shared" si="13"/>
        <v>-8.6841499247661179E-16</v>
      </c>
      <c r="R12">
        <f t="shared" si="14"/>
        <v>2.7652161602544748E-18</v>
      </c>
      <c r="S12" s="1"/>
    </row>
    <row r="13" spans="2:19" x14ac:dyDescent="0.25">
      <c r="B13">
        <v>-1</v>
      </c>
      <c r="C13">
        <f t="shared" si="3"/>
        <v>-1.5403023058681398</v>
      </c>
      <c r="D13">
        <f t="shared" si="4"/>
        <v>0.54030230586813977</v>
      </c>
      <c r="E13" s="5">
        <f t="shared" si="0"/>
        <v>0</v>
      </c>
      <c r="F13" s="6">
        <f t="shared" si="1"/>
        <v>0</v>
      </c>
      <c r="G13">
        <f t="shared" si="2"/>
        <v>0.54030230586813965</v>
      </c>
      <c r="H13" s="11">
        <v>1</v>
      </c>
      <c r="I13">
        <f t="shared" si="5"/>
        <v>-0.5</v>
      </c>
      <c r="J13">
        <f t="shared" si="6"/>
        <v>4.1666666666666664E-2</v>
      </c>
      <c r="K13">
        <f t="shared" si="7"/>
        <v>-1.3888888888888889E-3</v>
      </c>
      <c r="L13">
        <f t="shared" si="8"/>
        <v>2.4801587301587302E-5</v>
      </c>
      <c r="M13">
        <f t="shared" si="9"/>
        <v>-2.7557319223985888E-7</v>
      </c>
      <c r="N13">
        <f t="shared" si="10"/>
        <v>2.08767569878681E-9</v>
      </c>
      <c r="O13">
        <f t="shared" si="11"/>
        <v>-1.1470745597729725E-11</v>
      </c>
      <c r="P13">
        <f t="shared" si="12"/>
        <v>4.7794773323873853E-14</v>
      </c>
      <c r="Q13">
        <f t="shared" si="13"/>
        <v>-1.5619206968586225E-16</v>
      </c>
      <c r="R13">
        <f t="shared" si="14"/>
        <v>4.1103176233121648E-19</v>
      </c>
      <c r="S13" s="1"/>
    </row>
    <row r="14" spans="2:19" x14ac:dyDescent="0.25">
      <c r="B14">
        <v>-0.9</v>
      </c>
      <c r="C14">
        <f t="shared" si="3"/>
        <v>-1.5216099682706643</v>
      </c>
      <c r="D14">
        <f t="shared" si="4"/>
        <v>0.62160996827066439</v>
      </c>
      <c r="E14" s="5">
        <f t="shared" si="0"/>
        <v>0</v>
      </c>
      <c r="F14" s="5">
        <f t="shared" si="1"/>
        <v>0</v>
      </c>
      <c r="G14">
        <f t="shared" si="2"/>
        <v>0.6216099682706645</v>
      </c>
      <c r="H14" s="11">
        <v>1</v>
      </c>
      <c r="I14">
        <f t="shared" si="5"/>
        <v>-0.40500000000000003</v>
      </c>
      <c r="J14">
        <f t="shared" si="6"/>
        <v>2.7337500000000004E-2</v>
      </c>
      <c r="K14">
        <f t="shared" si="7"/>
        <v>-7.3811250000000025E-4</v>
      </c>
      <c r="L14">
        <f t="shared" si="8"/>
        <v>1.0676270089285719E-5</v>
      </c>
      <c r="M14">
        <f t="shared" si="9"/>
        <v>-9.6086430803571477E-8</v>
      </c>
      <c r="N14">
        <f t="shared" si="10"/>
        <v>5.8962127993100682E-10</v>
      </c>
      <c r="O14">
        <f t="shared" si="11"/>
        <v>-2.6241386634292064E-12</v>
      </c>
      <c r="P14">
        <f t="shared" si="12"/>
        <v>8.8564679890735725E-15</v>
      </c>
      <c r="Q14">
        <f t="shared" si="13"/>
        <v>-2.3443591735782985E-17</v>
      </c>
      <c r="R14">
        <f t="shared" si="14"/>
        <v>4.9971866594695325E-20</v>
      </c>
      <c r="S14" s="1"/>
    </row>
    <row r="15" spans="2:19" x14ac:dyDescent="0.25">
      <c r="B15">
        <v>-0.8</v>
      </c>
      <c r="C15">
        <f t="shared" si="3"/>
        <v>-1.4967067093471655</v>
      </c>
      <c r="D15">
        <f t="shared" si="4"/>
        <v>0.69670670934716539</v>
      </c>
      <c r="E15" s="5">
        <f t="shared" si="0"/>
        <v>0</v>
      </c>
      <c r="F15" s="5">
        <f t="shared" si="1"/>
        <v>0</v>
      </c>
      <c r="G15">
        <f t="shared" si="2"/>
        <v>0.69670670934716539</v>
      </c>
      <c r="H15" s="11">
        <v>1</v>
      </c>
      <c r="I15">
        <f t="shared" si="5"/>
        <v>-0.32000000000000006</v>
      </c>
      <c r="J15">
        <f t="shared" si="6"/>
        <v>1.7066666666666674E-2</v>
      </c>
      <c r="K15">
        <f t="shared" si="7"/>
        <v>-3.6408888888888908E-4</v>
      </c>
      <c r="L15">
        <f t="shared" si="8"/>
        <v>4.1610158730158767E-6</v>
      </c>
      <c r="M15">
        <f t="shared" si="9"/>
        <v>-2.9589446208112906E-8</v>
      </c>
      <c r="N15">
        <f t="shared" si="10"/>
        <v>1.4346398161509293E-10</v>
      </c>
      <c r="O15">
        <f t="shared" si="11"/>
        <v>-5.044887265585685E-13</v>
      </c>
      <c r="P15">
        <f t="shared" si="12"/>
        <v>1.3453032708228498E-15</v>
      </c>
      <c r="Q15">
        <f t="shared" si="13"/>
        <v>-2.8137061873419084E-18</v>
      </c>
      <c r="R15">
        <f t="shared" si="14"/>
        <v>4.738873578681111E-21</v>
      </c>
      <c r="S15" s="1"/>
    </row>
    <row r="16" spans="2:19" x14ac:dyDescent="0.25">
      <c r="B16">
        <v>-0.7</v>
      </c>
      <c r="C16">
        <f t="shared" si="3"/>
        <v>-1.4648421872844883</v>
      </c>
      <c r="D16">
        <f t="shared" si="4"/>
        <v>0.7648421872844885</v>
      </c>
      <c r="E16" s="5">
        <f t="shared" si="0"/>
        <v>0</v>
      </c>
      <c r="F16" s="5">
        <f t="shared" si="1"/>
        <v>0</v>
      </c>
      <c r="G16">
        <f t="shared" si="2"/>
        <v>0.76484218728448838</v>
      </c>
      <c r="H16" s="11">
        <v>1</v>
      </c>
      <c r="I16">
        <f t="shared" si="5"/>
        <v>-0.24499999999999997</v>
      </c>
      <c r="J16">
        <f t="shared" si="6"/>
        <v>1.0004166666666663E-2</v>
      </c>
      <c r="K16">
        <f t="shared" si="7"/>
        <v>-1.6340138888888881E-4</v>
      </c>
      <c r="L16">
        <f t="shared" si="8"/>
        <v>1.429762152777777E-6</v>
      </c>
      <c r="M16">
        <f t="shared" si="9"/>
        <v>-7.7842606095678963E-9</v>
      </c>
      <c r="N16">
        <f t="shared" si="10"/>
        <v>2.8896118929456574E-11</v>
      </c>
      <c r="O16">
        <f t="shared" si="11"/>
        <v>-7.7797243271613851E-14</v>
      </c>
      <c r="P16">
        <f t="shared" si="12"/>
        <v>1.5883603834621159E-16</v>
      </c>
      <c r="Q16">
        <f t="shared" si="13"/>
        <v>-2.5434529016223418E-19</v>
      </c>
      <c r="R16">
        <f t="shared" si="14"/>
        <v>3.2797155836709143E-22</v>
      </c>
      <c r="S16" s="1"/>
    </row>
    <row r="17" spans="2:19" x14ac:dyDescent="0.25">
      <c r="B17">
        <v>-0.6</v>
      </c>
      <c r="C17">
        <f t="shared" si="3"/>
        <v>-1.4253356149096783</v>
      </c>
      <c r="D17">
        <f t="shared" si="4"/>
        <v>0.82533561490967833</v>
      </c>
      <c r="E17" s="5">
        <f t="shared" si="0"/>
        <v>0</v>
      </c>
      <c r="F17" s="5">
        <f t="shared" si="1"/>
        <v>0</v>
      </c>
      <c r="G17">
        <f t="shared" si="2"/>
        <v>0.82533561490967833</v>
      </c>
      <c r="H17" s="11">
        <v>1</v>
      </c>
      <c r="I17">
        <f t="shared" si="5"/>
        <v>-0.18</v>
      </c>
      <c r="J17">
        <f t="shared" si="6"/>
        <v>5.3999999999999994E-3</v>
      </c>
      <c r="K17">
        <f t="shared" si="7"/>
        <v>-6.4799999999999989E-5</v>
      </c>
      <c r="L17">
        <f t="shared" si="8"/>
        <v>4.1657142857142851E-7</v>
      </c>
      <c r="M17">
        <f t="shared" si="9"/>
        <v>-1.6662857142857141E-9</v>
      </c>
      <c r="N17">
        <f t="shared" si="10"/>
        <v>4.5444155844155837E-12</v>
      </c>
      <c r="O17">
        <f t="shared" si="11"/>
        <v>-8.9889539032396154E-15</v>
      </c>
      <c r="P17">
        <f t="shared" si="12"/>
        <v>1.3483430854859421E-17</v>
      </c>
      <c r="Q17">
        <f t="shared" si="13"/>
        <v>-1.5862859829246378E-20</v>
      </c>
      <c r="R17">
        <f t="shared" si="14"/>
        <v>1.5027972469812359E-23</v>
      </c>
      <c r="S17" s="1"/>
    </row>
    <row r="18" spans="2:19" x14ac:dyDescent="0.25">
      <c r="B18">
        <v>-0.5</v>
      </c>
      <c r="C18">
        <f t="shared" si="3"/>
        <v>-1.3775825618903728</v>
      </c>
      <c r="D18">
        <f t="shared" si="4"/>
        <v>0.87758256189037276</v>
      </c>
      <c r="E18" s="5">
        <f t="shared" si="0"/>
        <v>0</v>
      </c>
      <c r="F18" s="5">
        <f t="shared" si="1"/>
        <v>0</v>
      </c>
      <c r="G18">
        <f t="shared" si="2"/>
        <v>0.87758256189037276</v>
      </c>
      <c r="H18" s="11">
        <v>1</v>
      </c>
      <c r="I18">
        <f t="shared" si="5"/>
        <v>-0.125</v>
      </c>
      <c r="J18">
        <f t="shared" si="6"/>
        <v>2.6041666666666665E-3</v>
      </c>
      <c r="K18">
        <f t="shared" si="7"/>
        <v>-2.170138888888889E-5</v>
      </c>
      <c r="L18">
        <f t="shared" si="8"/>
        <v>9.6881200396825397E-8</v>
      </c>
      <c r="M18">
        <f t="shared" si="9"/>
        <v>-2.6911444554673719E-10</v>
      </c>
      <c r="N18">
        <f t="shared" si="10"/>
        <v>5.0968644989912354E-13</v>
      </c>
      <c r="O18">
        <f t="shared" si="11"/>
        <v>-7.0011874986143338E-16</v>
      </c>
      <c r="P18">
        <f t="shared" si="12"/>
        <v>7.2929036443899311E-19</v>
      </c>
      <c r="Q18">
        <f t="shared" si="13"/>
        <v>-5.9582546114296819E-22</v>
      </c>
      <c r="R18">
        <f t="shared" si="14"/>
        <v>3.919904349624791E-25</v>
      </c>
      <c r="S18" s="1"/>
    </row>
    <row r="19" spans="2:19" x14ac:dyDescent="0.25">
      <c r="B19">
        <v>-0.4</v>
      </c>
      <c r="C19">
        <f t="shared" si="3"/>
        <v>-1.321060994002885</v>
      </c>
      <c r="D19">
        <f t="shared" si="4"/>
        <v>0.9210609940028851</v>
      </c>
      <c r="E19" s="5">
        <f t="shared" si="0"/>
        <v>0</v>
      </c>
      <c r="F19" s="5">
        <f t="shared" si="1"/>
        <v>0</v>
      </c>
      <c r="G19">
        <f t="shared" si="2"/>
        <v>0.92106099400288499</v>
      </c>
      <c r="H19" s="11">
        <v>1</v>
      </c>
      <c r="I19">
        <f t="shared" si="5"/>
        <v>-8.0000000000000016E-2</v>
      </c>
      <c r="J19">
        <f t="shared" si="6"/>
        <v>1.0666666666666672E-3</v>
      </c>
      <c r="K19">
        <f t="shared" si="7"/>
        <v>-5.6888888888888918E-6</v>
      </c>
      <c r="L19">
        <f t="shared" si="8"/>
        <v>1.6253968253968268E-8</v>
      </c>
      <c r="M19">
        <f t="shared" si="9"/>
        <v>-2.889594356261026E-11</v>
      </c>
      <c r="N19">
        <f t="shared" si="10"/>
        <v>3.5025386136497298E-14</v>
      </c>
      <c r="O19">
        <f t="shared" si="11"/>
        <v>-3.0791548251865753E-17</v>
      </c>
      <c r="P19">
        <f t="shared" si="12"/>
        <v>2.0527698834577175E-20</v>
      </c>
      <c r="Q19">
        <f t="shared" si="13"/>
        <v>-1.0733437299125322E-23</v>
      </c>
      <c r="R19">
        <f t="shared" si="14"/>
        <v>4.5193420206843481E-27</v>
      </c>
      <c r="S19" s="1"/>
    </row>
    <row r="20" spans="2:19" x14ac:dyDescent="0.25">
      <c r="B20">
        <v>-0.3</v>
      </c>
      <c r="C20">
        <f t="shared" si="3"/>
        <v>-1.255336489125606</v>
      </c>
      <c r="D20">
        <f t="shared" si="4"/>
        <v>0.95533648912560598</v>
      </c>
      <c r="E20" s="5">
        <f t="shared" si="0"/>
        <v>0</v>
      </c>
      <c r="F20" s="5">
        <f t="shared" si="1"/>
        <v>0</v>
      </c>
      <c r="G20">
        <f t="shared" si="2"/>
        <v>0.95533648912560598</v>
      </c>
      <c r="H20" s="11">
        <v>1</v>
      </c>
      <c r="I20">
        <f t="shared" si="5"/>
        <v>-4.4999999999999998E-2</v>
      </c>
      <c r="J20">
        <f t="shared" si="6"/>
        <v>3.3749999999999996E-4</v>
      </c>
      <c r="K20">
        <f t="shared" si="7"/>
        <v>-1.0124999999999998E-6</v>
      </c>
      <c r="L20">
        <f t="shared" si="8"/>
        <v>1.6272321428571426E-9</v>
      </c>
      <c r="M20">
        <f t="shared" si="9"/>
        <v>-1.6272321428571427E-12</v>
      </c>
      <c r="N20">
        <f t="shared" si="10"/>
        <v>1.1094764610389609E-15</v>
      </c>
      <c r="O20">
        <f t="shared" si="11"/>
        <v>-5.4864220600827731E-19</v>
      </c>
      <c r="P20">
        <f t="shared" si="12"/>
        <v>2.0574082725310396E-22</v>
      </c>
      <c r="Q20">
        <f t="shared" si="13"/>
        <v>-6.0512008015618813E-26</v>
      </c>
      <c r="R20">
        <f t="shared" si="14"/>
        <v>1.4331791372120246E-29</v>
      </c>
      <c r="S20" s="1"/>
    </row>
    <row r="21" spans="2:19" x14ac:dyDescent="0.25">
      <c r="B21">
        <v>-0.2</v>
      </c>
      <c r="C21">
        <f t="shared" si="3"/>
        <v>-1.1800665778412416</v>
      </c>
      <c r="D21">
        <f t="shared" si="4"/>
        <v>0.98006657784124163</v>
      </c>
      <c r="E21" s="5">
        <f t="shared" si="0"/>
        <v>0</v>
      </c>
      <c r="F21" s="5">
        <f t="shared" si="1"/>
        <v>0</v>
      </c>
      <c r="G21">
        <f t="shared" si="2"/>
        <v>0.98006657784124163</v>
      </c>
      <c r="H21" s="11">
        <v>1</v>
      </c>
      <c r="I21">
        <f t="shared" si="5"/>
        <v>-2.0000000000000004E-2</v>
      </c>
      <c r="J21">
        <f t="shared" si="6"/>
        <v>6.6666666666666697E-5</v>
      </c>
      <c r="K21">
        <f t="shared" si="7"/>
        <v>-8.8888888888888935E-8</v>
      </c>
      <c r="L21">
        <f t="shared" si="8"/>
        <v>6.3492063492063549E-11</v>
      </c>
      <c r="M21">
        <f t="shared" si="9"/>
        <v>-2.8218694885361582E-14</v>
      </c>
      <c r="N21">
        <f t="shared" si="10"/>
        <v>8.5511196622307855E-18</v>
      </c>
      <c r="O21">
        <f t="shared" si="11"/>
        <v>-1.8793669587320406E-21</v>
      </c>
      <c r="P21">
        <f t="shared" si="12"/>
        <v>3.132278264553402E-25</v>
      </c>
      <c r="Q21">
        <f t="shared" si="13"/>
        <v>-4.094481391573075E-29</v>
      </c>
      <c r="R21">
        <f t="shared" si="14"/>
        <v>4.3099804121821862E-33</v>
      </c>
      <c r="S21" s="1"/>
    </row>
    <row r="22" spans="2:19" x14ac:dyDescent="0.25">
      <c r="B22">
        <v>-0.1</v>
      </c>
      <c r="C22">
        <f t="shared" si="3"/>
        <v>-1.0950041652780258</v>
      </c>
      <c r="D22">
        <f t="shared" si="4"/>
        <v>0.99500416527802582</v>
      </c>
      <c r="E22" s="5">
        <f t="shared" si="0"/>
        <v>0</v>
      </c>
      <c r="F22" s="5">
        <f t="shared" si="1"/>
        <v>0</v>
      </c>
      <c r="G22">
        <f t="shared" si="2"/>
        <v>0.99500416527802582</v>
      </c>
      <c r="H22" s="11">
        <v>1</v>
      </c>
      <c r="I22">
        <f t="shared" si="5"/>
        <v>-5.000000000000001E-3</v>
      </c>
      <c r="J22">
        <f t="shared" si="6"/>
        <v>4.1666666666666686E-6</v>
      </c>
      <c r="K22">
        <f t="shared" si="7"/>
        <v>-1.3888888888888896E-9</v>
      </c>
      <c r="L22">
        <f t="shared" si="8"/>
        <v>2.4801587301587324E-13</v>
      </c>
      <c r="M22">
        <f t="shared" si="9"/>
        <v>-2.755731922398592E-17</v>
      </c>
      <c r="N22">
        <f t="shared" si="10"/>
        <v>2.0876756987868129E-21</v>
      </c>
      <c r="O22">
        <f t="shared" si="11"/>
        <v>-1.147074559772974E-25</v>
      </c>
      <c r="P22">
        <f t="shared" si="12"/>
        <v>4.7794773323873932E-30</v>
      </c>
      <c r="Q22">
        <f t="shared" si="13"/>
        <v>-1.5619206968586254E-34</v>
      </c>
      <c r="R22">
        <f t="shared" si="14"/>
        <v>4.1103176233121741E-39</v>
      </c>
      <c r="S22" s="1"/>
    </row>
    <row r="23" spans="2:19" x14ac:dyDescent="0.25">
      <c r="B23">
        <v>0</v>
      </c>
      <c r="C23">
        <f t="shared" si="3"/>
        <v>-1</v>
      </c>
      <c r="D23">
        <f t="shared" si="4"/>
        <v>1</v>
      </c>
      <c r="E23" s="5">
        <f>D23-G23</f>
        <v>0</v>
      </c>
      <c r="F23" s="5">
        <f>E23/D23</f>
        <v>0</v>
      </c>
      <c r="G23">
        <f t="shared" si="2"/>
        <v>1</v>
      </c>
      <c r="H23" s="11">
        <v>1</v>
      </c>
      <c r="I23">
        <f t="shared" si="5"/>
        <v>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0</v>
      </c>
      <c r="O23">
        <f t="shared" si="11"/>
        <v>0</v>
      </c>
      <c r="P23">
        <f t="shared" si="12"/>
        <v>0</v>
      </c>
      <c r="Q23">
        <f t="shared" si="13"/>
        <v>0</v>
      </c>
      <c r="R23">
        <f t="shared" si="14"/>
        <v>0</v>
      </c>
    </row>
    <row r="24" spans="2:19" x14ac:dyDescent="0.25">
      <c r="B24">
        <v>9.9999999999999994E-12</v>
      </c>
      <c r="C24">
        <f t="shared" si="3"/>
        <v>-0.99999999999</v>
      </c>
      <c r="D24">
        <f t="shared" ref="D24:D27" si="15">COS(B24)</f>
        <v>1</v>
      </c>
      <c r="E24" s="5">
        <f t="shared" ref="E24:E27" si="16">D24-G24</f>
        <v>0</v>
      </c>
      <c r="F24" s="5">
        <f t="shared" ref="F24:F27" si="17">E24/D24</f>
        <v>0</v>
      </c>
      <c r="G24">
        <f t="shared" ref="G24:G27" si="18">SUM(H24:R24)</f>
        <v>1</v>
      </c>
      <c r="H24" s="11">
        <v>1</v>
      </c>
      <c r="I24">
        <f t="shared" ref="I24:I27" si="19">(-1)*B24^2/FACT(2)</f>
        <v>-4.9999999999999997E-23</v>
      </c>
      <c r="J24">
        <f t="shared" ref="J24:J27" si="20">B24^4/FACT(4)</f>
        <v>4.1666666666666662E-46</v>
      </c>
      <c r="K24">
        <f t="shared" ref="K24:K27" si="21">(-1)*B24^6/FACT(6)</f>
        <v>-1.3888888888888884E-69</v>
      </c>
      <c r="L24">
        <f t="shared" ref="L24:L27" si="22">B24^8/FACT(8)</f>
        <v>2.4801587301587295E-93</v>
      </c>
      <c r="M24">
        <f t="shared" ref="M24:M27" si="23">(-1)*B24^10/FACT(10)</f>
        <v>-2.7557319223985881E-117</v>
      </c>
      <c r="N24">
        <f t="shared" ref="N24:N27" si="24">B24^12/FACT(12)</f>
        <v>2.087675698786809E-141</v>
      </c>
      <c r="O24">
        <f t="shared" ref="O24:O27" si="25">(-1)*B24^14/FACT(14)</f>
        <v>-1.1470745597729716E-165</v>
      </c>
      <c r="P24">
        <f t="shared" ref="P24:P27" si="26">B24^16/FACT(16)</f>
        <v>4.7794773323873821E-190</v>
      </c>
      <c r="Q24">
        <f t="shared" ref="Q24:Q27" si="27">(-1)*B24^18/FACT(18)</f>
        <v>-1.5619206968586214E-214</v>
      </c>
      <c r="R24">
        <f t="shared" ref="R24:R27" si="28">B24^20/FACT(20)</f>
        <v>4.1103176233121612E-239</v>
      </c>
    </row>
    <row r="25" spans="2:19" x14ac:dyDescent="0.25">
      <c r="B25">
        <v>1E-4</v>
      </c>
      <c r="C25">
        <f t="shared" si="3"/>
        <v>-0.99989999500000004</v>
      </c>
      <c r="D25">
        <f t="shared" si="15"/>
        <v>0.99999999500000003</v>
      </c>
      <c r="E25" s="5">
        <f t="shared" si="16"/>
        <v>0</v>
      </c>
      <c r="F25" s="5">
        <f t="shared" si="17"/>
        <v>0</v>
      </c>
      <c r="G25">
        <f t="shared" si="18"/>
        <v>0.99999999500000003</v>
      </c>
      <c r="H25" s="11">
        <v>1</v>
      </c>
      <c r="I25">
        <f t="shared" si="19"/>
        <v>-5.0000000000000001E-9</v>
      </c>
      <c r="J25">
        <f t="shared" si="20"/>
        <v>4.1666666666666668E-18</v>
      </c>
      <c r="K25">
        <f t="shared" si="21"/>
        <v>-1.388888888888889E-27</v>
      </c>
      <c r="L25">
        <f t="shared" si="22"/>
        <v>2.4801587301587305E-37</v>
      </c>
      <c r="M25">
        <f t="shared" si="23"/>
        <v>-2.7557319223985895E-47</v>
      </c>
      <c r="N25">
        <f t="shared" si="24"/>
        <v>2.0876756987868105E-57</v>
      </c>
      <c r="O25">
        <f t="shared" si="25"/>
        <v>-1.1470745597729727E-67</v>
      </c>
      <c r="P25">
        <f t="shared" si="26"/>
        <v>4.7794773323873866E-78</v>
      </c>
      <c r="Q25">
        <f t="shared" si="27"/>
        <v>-1.5619206968586231E-88</v>
      </c>
      <c r="R25">
        <f t="shared" si="28"/>
        <v>4.110317623312166E-99</v>
      </c>
    </row>
    <row r="26" spans="2:19" x14ac:dyDescent="0.25">
      <c r="B26">
        <v>1E-3</v>
      </c>
      <c r="C26">
        <f t="shared" si="3"/>
        <v>-0.99899950000004167</v>
      </c>
      <c r="D26">
        <f t="shared" si="15"/>
        <v>0.99999950000004167</v>
      </c>
      <c r="E26" s="5">
        <f t="shared" si="16"/>
        <v>0</v>
      </c>
      <c r="F26" s="5">
        <f t="shared" si="17"/>
        <v>0</v>
      </c>
      <c r="G26">
        <f t="shared" si="18"/>
        <v>0.99999950000004167</v>
      </c>
      <c r="H26" s="11">
        <v>1</v>
      </c>
      <c r="I26">
        <f t="shared" si="19"/>
        <v>-4.9999999999999998E-7</v>
      </c>
      <c r="J26">
        <f t="shared" si="20"/>
        <v>4.1666666666666668E-14</v>
      </c>
      <c r="K26">
        <f t="shared" si="21"/>
        <v>-1.3888888888888887E-21</v>
      </c>
      <c r="L26">
        <f t="shared" si="22"/>
        <v>2.48015873015873E-29</v>
      </c>
      <c r="M26">
        <f t="shared" si="23"/>
        <v>-2.7557319223985889E-37</v>
      </c>
      <c r="N26">
        <f t="shared" si="24"/>
        <v>2.0876756987868098E-45</v>
      </c>
      <c r="O26">
        <f t="shared" si="25"/>
        <v>-1.1470745597729723E-53</v>
      </c>
      <c r="P26">
        <f t="shared" si="26"/>
        <v>4.7794773323873846E-62</v>
      </c>
      <c r="Q26">
        <f t="shared" si="27"/>
        <v>-1.5619206968586224E-70</v>
      </c>
      <c r="R26">
        <f t="shared" si="28"/>
        <v>4.1103176233121642E-79</v>
      </c>
    </row>
    <row r="27" spans="2:19" x14ac:dyDescent="0.25">
      <c r="B27">
        <v>0.01</v>
      </c>
      <c r="C27">
        <f t="shared" si="3"/>
        <v>-0.98995000041666525</v>
      </c>
      <c r="D27">
        <f t="shared" si="15"/>
        <v>0.99995000041666526</v>
      </c>
      <c r="E27" s="5">
        <f t="shared" si="16"/>
        <v>0</v>
      </c>
      <c r="F27" s="5">
        <f t="shared" si="17"/>
        <v>0</v>
      </c>
      <c r="G27">
        <f t="shared" si="18"/>
        <v>0.99995000041666526</v>
      </c>
      <c r="H27" s="11">
        <v>1</v>
      </c>
      <c r="I27">
        <f t="shared" si="19"/>
        <v>-5.0000000000000002E-5</v>
      </c>
      <c r="J27">
        <f t="shared" si="20"/>
        <v>4.1666666666666668E-10</v>
      </c>
      <c r="K27">
        <f t="shared" si="21"/>
        <v>-1.3888888888888888E-15</v>
      </c>
      <c r="L27">
        <f t="shared" si="22"/>
        <v>2.4801587301587303E-21</v>
      </c>
      <c r="M27">
        <f t="shared" si="23"/>
        <v>-2.7557319223985893E-27</v>
      </c>
      <c r="N27">
        <f t="shared" si="24"/>
        <v>2.0876756987868102E-33</v>
      </c>
      <c r="O27">
        <f t="shared" si="25"/>
        <v>-1.1470745597729726E-39</v>
      </c>
      <c r="P27">
        <f t="shared" si="26"/>
        <v>4.7794773323873863E-46</v>
      </c>
      <c r="Q27">
        <f t="shared" si="27"/>
        <v>-1.5619206968586231E-52</v>
      </c>
      <c r="R27">
        <f t="shared" si="28"/>
        <v>4.1103176233121653E-59</v>
      </c>
    </row>
    <row r="28" spans="2:19" x14ac:dyDescent="0.25">
      <c r="B28">
        <v>0.1</v>
      </c>
      <c r="C28">
        <f t="shared" si="3"/>
        <v>-0.89500416527802584</v>
      </c>
      <c r="D28">
        <f t="shared" si="4"/>
        <v>0.99500416527802582</v>
      </c>
      <c r="E28" s="5">
        <f t="shared" ref="E28:E47" si="29">D28-G28</f>
        <v>0</v>
      </c>
      <c r="F28" s="5">
        <f t="shared" ref="F28:F47" si="30">E28/D28</f>
        <v>0</v>
      </c>
      <c r="G28">
        <f t="shared" si="2"/>
        <v>0.99500416527802582</v>
      </c>
      <c r="H28" s="11">
        <v>1</v>
      </c>
      <c r="I28">
        <f t="shared" si="5"/>
        <v>-5.000000000000001E-3</v>
      </c>
      <c r="J28">
        <f t="shared" si="6"/>
        <v>4.1666666666666686E-6</v>
      </c>
      <c r="K28">
        <f t="shared" si="7"/>
        <v>-1.3888888888888896E-9</v>
      </c>
      <c r="L28">
        <f t="shared" si="8"/>
        <v>2.4801587301587324E-13</v>
      </c>
      <c r="M28">
        <f t="shared" si="9"/>
        <v>-2.755731922398592E-17</v>
      </c>
      <c r="N28">
        <f t="shared" si="10"/>
        <v>2.0876756987868129E-21</v>
      </c>
      <c r="O28">
        <f t="shared" si="11"/>
        <v>-1.147074559772974E-25</v>
      </c>
      <c r="P28">
        <f t="shared" si="12"/>
        <v>4.7794773323873932E-30</v>
      </c>
      <c r="Q28">
        <f t="shared" si="13"/>
        <v>-1.5619206968586254E-34</v>
      </c>
      <c r="R28">
        <f t="shared" si="14"/>
        <v>4.1103176233121741E-39</v>
      </c>
    </row>
    <row r="29" spans="2:19" x14ac:dyDescent="0.25">
      <c r="B29">
        <v>0.2</v>
      </c>
      <c r="C29">
        <f t="shared" si="3"/>
        <v>-0.78006657784124167</v>
      </c>
      <c r="D29">
        <f t="shared" si="4"/>
        <v>0.98006657784124163</v>
      </c>
      <c r="E29" s="5">
        <f t="shared" si="29"/>
        <v>0</v>
      </c>
      <c r="F29" s="5">
        <f t="shared" si="30"/>
        <v>0</v>
      </c>
      <c r="G29">
        <f t="shared" si="2"/>
        <v>0.98006657784124163</v>
      </c>
      <c r="H29" s="11">
        <v>1</v>
      </c>
      <c r="I29">
        <f t="shared" si="5"/>
        <v>-2.0000000000000004E-2</v>
      </c>
      <c r="J29">
        <f t="shared" si="6"/>
        <v>6.6666666666666697E-5</v>
      </c>
      <c r="K29">
        <f t="shared" si="7"/>
        <v>-8.8888888888888935E-8</v>
      </c>
      <c r="L29">
        <f t="shared" si="8"/>
        <v>6.3492063492063549E-11</v>
      </c>
      <c r="M29">
        <f t="shared" si="9"/>
        <v>-2.8218694885361582E-14</v>
      </c>
      <c r="N29">
        <f t="shared" si="10"/>
        <v>8.5511196622307855E-18</v>
      </c>
      <c r="O29">
        <f t="shared" si="11"/>
        <v>-1.8793669587320406E-21</v>
      </c>
      <c r="P29">
        <f t="shared" si="12"/>
        <v>3.132278264553402E-25</v>
      </c>
      <c r="Q29">
        <f t="shared" si="13"/>
        <v>-4.094481391573075E-29</v>
      </c>
      <c r="R29">
        <f t="shared" si="14"/>
        <v>4.3099804121821862E-33</v>
      </c>
    </row>
    <row r="30" spans="2:19" x14ac:dyDescent="0.25">
      <c r="B30">
        <v>0.3</v>
      </c>
      <c r="C30">
        <f t="shared" si="3"/>
        <v>-0.65533648912560594</v>
      </c>
      <c r="D30">
        <f t="shared" si="4"/>
        <v>0.95533648912560598</v>
      </c>
      <c r="E30" s="5">
        <f t="shared" si="29"/>
        <v>0</v>
      </c>
      <c r="F30" s="5">
        <f t="shared" si="30"/>
        <v>0</v>
      </c>
      <c r="G30">
        <f t="shared" si="2"/>
        <v>0.95533648912560598</v>
      </c>
      <c r="H30" s="11">
        <v>1</v>
      </c>
      <c r="I30">
        <f t="shared" si="5"/>
        <v>-4.4999999999999998E-2</v>
      </c>
      <c r="J30">
        <f t="shared" si="6"/>
        <v>3.3749999999999996E-4</v>
      </c>
      <c r="K30">
        <f t="shared" si="7"/>
        <v>-1.0124999999999998E-6</v>
      </c>
      <c r="L30">
        <f t="shared" si="8"/>
        <v>1.6272321428571426E-9</v>
      </c>
      <c r="M30">
        <f t="shared" si="9"/>
        <v>-1.6272321428571427E-12</v>
      </c>
      <c r="N30">
        <f t="shared" si="10"/>
        <v>1.1094764610389609E-15</v>
      </c>
      <c r="O30">
        <f t="shared" si="11"/>
        <v>-5.4864220600827731E-19</v>
      </c>
      <c r="P30">
        <f t="shared" si="12"/>
        <v>2.0574082725310396E-22</v>
      </c>
      <c r="Q30">
        <f t="shared" si="13"/>
        <v>-6.0512008015618813E-26</v>
      </c>
      <c r="R30">
        <f t="shared" si="14"/>
        <v>1.4331791372120246E-29</v>
      </c>
    </row>
    <row r="31" spans="2:19" x14ac:dyDescent="0.25">
      <c r="B31">
        <v>0.4</v>
      </c>
      <c r="C31">
        <f t="shared" si="3"/>
        <v>-0.52106099400288508</v>
      </c>
      <c r="D31">
        <f t="shared" si="4"/>
        <v>0.9210609940028851</v>
      </c>
      <c r="E31" s="5">
        <f t="shared" si="29"/>
        <v>0</v>
      </c>
      <c r="F31" s="5">
        <f t="shared" si="30"/>
        <v>0</v>
      </c>
      <c r="G31">
        <f t="shared" si="2"/>
        <v>0.92106099400288499</v>
      </c>
      <c r="H31" s="11">
        <v>1</v>
      </c>
      <c r="I31">
        <f t="shared" si="5"/>
        <v>-8.0000000000000016E-2</v>
      </c>
      <c r="J31">
        <f t="shared" si="6"/>
        <v>1.0666666666666672E-3</v>
      </c>
      <c r="K31">
        <f t="shared" si="7"/>
        <v>-5.6888888888888918E-6</v>
      </c>
      <c r="L31">
        <f t="shared" si="8"/>
        <v>1.6253968253968268E-8</v>
      </c>
      <c r="M31">
        <f t="shared" si="9"/>
        <v>-2.889594356261026E-11</v>
      </c>
      <c r="N31">
        <f t="shared" si="10"/>
        <v>3.5025386136497298E-14</v>
      </c>
      <c r="O31">
        <f t="shared" si="11"/>
        <v>-3.0791548251865753E-17</v>
      </c>
      <c r="P31">
        <f t="shared" si="12"/>
        <v>2.0527698834577175E-20</v>
      </c>
      <c r="Q31">
        <f t="shared" si="13"/>
        <v>-1.0733437299125322E-23</v>
      </c>
      <c r="R31">
        <f t="shared" si="14"/>
        <v>4.5193420206843481E-27</v>
      </c>
    </row>
    <row r="32" spans="2:19" x14ac:dyDescent="0.25">
      <c r="B32">
        <v>0.5</v>
      </c>
      <c r="C32">
        <f t="shared" si="3"/>
        <v>-0.37758256189037276</v>
      </c>
      <c r="D32">
        <f t="shared" si="4"/>
        <v>0.87758256189037276</v>
      </c>
      <c r="E32" s="5">
        <f t="shared" si="29"/>
        <v>0</v>
      </c>
      <c r="F32" s="5">
        <f t="shared" si="30"/>
        <v>0</v>
      </c>
      <c r="G32">
        <f t="shared" si="2"/>
        <v>0.87758256189037276</v>
      </c>
      <c r="H32" s="11">
        <v>1</v>
      </c>
      <c r="I32">
        <f t="shared" si="5"/>
        <v>-0.125</v>
      </c>
      <c r="J32">
        <f t="shared" si="6"/>
        <v>2.6041666666666665E-3</v>
      </c>
      <c r="K32">
        <f t="shared" si="7"/>
        <v>-2.170138888888889E-5</v>
      </c>
      <c r="L32">
        <f t="shared" si="8"/>
        <v>9.6881200396825397E-8</v>
      </c>
      <c r="M32">
        <f t="shared" si="9"/>
        <v>-2.6911444554673719E-10</v>
      </c>
      <c r="N32">
        <f t="shared" si="10"/>
        <v>5.0968644989912354E-13</v>
      </c>
      <c r="O32">
        <f t="shared" si="11"/>
        <v>-7.0011874986143338E-16</v>
      </c>
      <c r="P32">
        <f t="shared" si="12"/>
        <v>7.2929036443899311E-19</v>
      </c>
      <c r="Q32">
        <f t="shared" si="13"/>
        <v>-5.9582546114296819E-22</v>
      </c>
      <c r="R32">
        <f t="shared" si="14"/>
        <v>3.919904349624791E-25</v>
      </c>
    </row>
    <row r="33" spans="2:18" x14ac:dyDescent="0.25">
      <c r="B33">
        <v>0.6</v>
      </c>
      <c r="C33">
        <f t="shared" si="3"/>
        <v>-0.22533561490967835</v>
      </c>
      <c r="D33">
        <f t="shared" si="4"/>
        <v>0.82533561490967833</v>
      </c>
      <c r="E33" s="5">
        <f t="shared" si="29"/>
        <v>0</v>
      </c>
      <c r="F33" s="5">
        <f t="shared" si="30"/>
        <v>0</v>
      </c>
      <c r="G33">
        <f t="shared" si="2"/>
        <v>0.82533561490967833</v>
      </c>
      <c r="H33" s="11">
        <v>1</v>
      </c>
      <c r="I33">
        <f t="shared" si="5"/>
        <v>-0.18</v>
      </c>
      <c r="J33">
        <f t="shared" si="6"/>
        <v>5.3999999999999994E-3</v>
      </c>
      <c r="K33">
        <f t="shared" si="7"/>
        <v>-6.4799999999999989E-5</v>
      </c>
      <c r="L33">
        <f t="shared" si="8"/>
        <v>4.1657142857142851E-7</v>
      </c>
      <c r="M33">
        <f t="shared" si="9"/>
        <v>-1.6662857142857141E-9</v>
      </c>
      <c r="N33">
        <f t="shared" si="10"/>
        <v>4.5444155844155837E-12</v>
      </c>
      <c r="O33">
        <f t="shared" si="11"/>
        <v>-8.9889539032396154E-15</v>
      </c>
      <c r="P33">
        <f t="shared" si="12"/>
        <v>1.3483430854859421E-17</v>
      </c>
      <c r="Q33">
        <f t="shared" si="13"/>
        <v>-1.5862859829246378E-20</v>
      </c>
      <c r="R33">
        <f t="shared" si="14"/>
        <v>1.5027972469812359E-23</v>
      </c>
    </row>
    <row r="34" spans="2:18" x14ac:dyDescent="0.25">
      <c r="B34">
        <v>0.7</v>
      </c>
      <c r="C34">
        <f t="shared" si="3"/>
        <v>-6.4842187284488539E-2</v>
      </c>
      <c r="D34">
        <f t="shared" si="4"/>
        <v>0.7648421872844885</v>
      </c>
      <c r="E34" s="5">
        <f t="shared" si="29"/>
        <v>0</v>
      </c>
      <c r="F34" s="5">
        <f t="shared" si="30"/>
        <v>0</v>
      </c>
      <c r="G34">
        <f t="shared" si="2"/>
        <v>0.76484218728448838</v>
      </c>
      <c r="H34" s="11">
        <v>1</v>
      </c>
      <c r="I34">
        <f t="shared" si="5"/>
        <v>-0.24499999999999997</v>
      </c>
      <c r="J34">
        <f t="shared" si="6"/>
        <v>1.0004166666666663E-2</v>
      </c>
      <c r="K34">
        <f t="shared" si="7"/>
        <v>-1.6340138888888881E-4</v>
      </c>
      <c r="L34">
        <f t="shared" si="8"/>
        <v>1.429762152777777E-6</v>
      </c>
      <c r="M34">
        <f t="shared" si="9"/>
        <v>-7.7842606095678963E-9</v>
      </c>
      <c r="N34">
        <f t="shared" si="10"/>
        <v>2.8896118929456574E-11</v>
      </c>
      <c r="O34">
        <f t="shared" si="11"/>
        <v>-7.7797243271613851E-14</v>
      </c>
      <c r="P34">
        <f t="shared" si="12"/>
        <v>1.5883603834621159E-16</v>
      </c>
      <c r="Q34">
        <f t="shared" si="13"/>
        <v>-2.5434529016223418E-19</v>
      </c>
      <c r="R34">
        <f t="shared" si="14"/>
        <v>3.2797155836709143E-22</v>
      </c>
    </row>
    <row r="35" spans="2:18" x14ac:dyDescent="0.25">
      <c r="B35">
        <v>0.8</v>
      </c>
      <c r="C35">
        <f t="shared" si="3"/>
        <v>0.10329329065283466</v>
      </c>
      <c r="D35">
        <f t="shared" si="4"/>
        <v>0.69670670934716539</v>
      </c>
      <c r="E35" s="5">
        <f t="shared" si="29"/>
        <v>0</v>
      </c>
      <c r="F35" s="5">
        <f t="shared" si="30"/>
        <v>0</v>
      </c>
      <c r="G35">
        <f t="shared" si="2"/>
        <v>0.69670670934716539</v>
      </c>
      <c r="H35" s="11">
        <v>1</v>
      </c>
      <c r="I35">
        <f t="shared" si="5"/>
        <v>-0.32000000000000006</v>
      </c>
      <c r="J35">
        <f t="shared" si="6"/>
        <v>1.7066666666666674E-2</v>
      </c>
      <c r="K35">
        <f t="shared" si="7"/>
        <v>-3.6408888888888908E-4</v>
      </c>
      <c r="L35">
        <f t="shared" si="8"/>
        <v>4.1610158730158767E-6</v>
      </c>
      <c r="M35">
        <f t="shared" si="9"/>
        <v>-2.9589446208112906E-8</v>
      </c>
      <c r="N35">
        <f t="shared" si="10"/>
        <v>1.4346398161509293E-10</v>
      </c>
      <c r="O35">
        <f t="shared" si="11"/>
        <v>-5.044887265585685E-13</v>
      </c>
      <c r="P35">
        <f t="shared" si="12"/>
        <v>1.3453032708228498E-15</v>
      </c>
      <c r="Q35">
        <f t="shared" si="13"/>
        <v>-2.8137061873419084E-18</v>
      </c>
      <c r="R35">
        <f t="shared" si="14"/>
        <v>4.738873578681111E-21</v>
      </c>
    </row>
    <row r="36" spans="2:18" x14ac:dyDescent="0.25">
      <c r="B36">
        <v>0.9</v>
      </c>
      <c r="C36">
        <f t="shared" si="3"/>
        <v>0.27839003172933563</v>
      </c>
      <c r="D36">
        <f t="shared" si="4"/>
        <v>0.62160996827066439</v>
      </c>
      <c r="E36" s="5">
        <f t="shared" si="29"/>
        <v>0</v>
      </c>
      <c r="F36" s="5">
        <f t="shared" si="30"/>
        <v>0</v>
      </c>
      <c r="G36">
        <f t="shared" si="2"/>
        <v>0.6216099682706645</v>
      </c>
      <c r="H36" s="11">
        <v>1</v>
      </c>
      <c r="I36">
        <f t="shared" si="5"/>
        <v>-0.40500000000000003</v>
      </c>
      <c r="J36">
        <f t="shared" si="6"/>
        <v>2.7337500000000004E-2</v>
      </c>
      <c r="K36">
        <f t="shared" si="7"/>
        <v>-7.3811250000000025E-4</v>
      </c>
      <c r="L36">
        <f t="shared" si="8"/>
        <v>1.0676270089285719E-5</v>
      </c>
      <c r="M36">
        <f t="shared" si="9"/>
        <v>-9.6086430803571477E-8</v>
      </c>
      <c r="N36">
        <f t="shared" si="10"/>
        <v>5.8962127993100682E-10</v>
      </c>
      <c r="O36">
        <f t="shared" si="11"/>
        <v>-2.6241386634292064E-12</v>
      </c>
      <c r="P36">
        <f t="shared" si="12"/>
        <v>8.8564679890735725E-15</v>
      </c>
      <c r="Q36">
        <f t="shared" si="13"/>
        <v>-2.3443591735782985E-17</v>
      </c>
      <c r="R36">
        <f t="shared" si="14"/>
        <v>4.9971866594695325E-20</v>
      </c>
    </row>
    <row r="37" spans="2:18" x14ac:dyDescent="0.25">
      <c r="B37">
        <v>1</v>
      </c>
      <c r="C37">
        <f t="shared" si="3"/>
        <v>0.45969769413186023</v>
      </c>
      <c r="D37">
        <f t="shared" si="4"/>
        <v>0.54030230586813977</v>
      </c>
      <c r="E37" s="5">
        <f t="shared" si="29"/>
        <v>0</v>
      </c>
      <c r="F37" s="6">
        <f t="shared" si="30"/>
        <v>0</v>
      </c>
      <c r="G37">
        <f t="shared" si="2"/>
        <v>0.54030230586813965</v>
      </c>
      <c r="H37" s="11">
        <v>1</v>
      </c>
      <c r="I37">
        <f t="shared" si="5"/>
        <v>-0.5</v>
      </c>
      <c r="J37">
        <f t="shared" si="6"/>
        <v>4.1666666666666664E-2</v>
      </c>
      <c r="K37">
        <f t="shared" si="7"/>
        <v>-1.3888888888888889E-3</v>
      </c>
      <c r="L37">
        <f t="shared" si="8"/>
        <v>2.4801587301587302E-5</v>
      </c>
      <c r="M37">
        <f t="shared" si="9"/>
        <v>-2.7557319223985888E-7</v>
      </c>
      <c r="N37">
        <f t="shared" si="10"/>
        <v>2.08767569878681E-9</v>
      </c>
      <c r="O37">
        <f t="shared" si="11"/>
        <v>-1.1470745597729725E-11</v>
      </c>
      <c r="P37">
        <f t="shared" si="12"/>
        <v>4.7794773323873853E-14</v>
      </c>
      <c r="Q37">
        <f t="shared" si="13"/>
        <v>-1.5619206968586225E-16</v>
      </c>
      <c r="R37">
        <f t="shared" si="14"/>
        <v>4.1103176233121648E-19</v>
      </c>
    </row>
    <row r="38" spans="2:18" x14ac:dyDescent="0.25">
      <c r="B38">
        <v>1.1000000000000001</v>
      </c>
      <c r="C38">
        <f t="shared" si="3"/>
        <v>0.64640387857442283</v>
      </c>
      <c r="D38">
        <f t="shared" si="4"/>
        <v>0.45359612142557731</v>
      </c>
      <c r="E38" s="5">
        <f t="shared" si="29"/>
        <v>0</v>
      </c>
      <c r="F38" s="6">
        <f t="shared" si="30"/>
        <v>0</v>
      </c>
      <c r="G38">
        <f t="shared" si="2"/>
        <v>0.45359612142557726</v>
      </c>
      <c r="H38" s="11">
        <v>1</v>
      </c>
      <c r="I38">
        <f t="shared" si="5"/>
        <v>-0.60500000000000009</v>
      </c>
      <c r="J38">
        <f t="shared" si="6"/>
        <v>6.1004166666666686E-2</v>
      </c>
      <c r="K38">
        <f t="shared" si="7"/>
        <v>-2.4605013888888902E-3</v>
      </c>
      <c r="L38">
        <f t="shared" si="8"/>
        <v>5.3164405009920662E-5</v>
      </c>
      <c r="M38">
        <f t="shared" si="9"/>
        <v>-7.1476588957782243E-7</v>
      </c>
      <c r="N38">
        <f t="shared" si="10"/>
        <v>6.5520206544633728E-9</v>
      </c>
      <c r="O38">
        <f t="shared" si="11"/>
        <v>-4.3560137318135619E-11</v>
      </c>
      <c r="P38">
        <f t="shared" si="12"/>
        <v>2.1961569231226709E-13</v>
      </c>
      <c r="Q38">
        <f t="shared" si="13"/>
        <v>-8.6841499247661179E-16</v>
      </c>
      <c r="R38">
        <f t="shared" si="14"/>
        <v>2.7652161602544748E-18</v>
      </c>
    </row>
    <row r="39" spans="2:18" x14ac:dyDescent="0.25">
      <c r="B39">
        <v>1.2</v>
      </c>
      <c r="C39">
        <f t="shared" si="3"/>
        <v>0.83764224552332633</v>
      </c>
      <c r="D39">
        <f t="shared" si="4"/>
        <v>0.36235775447667362</v>
      </c>
      <c r="E39" s="5">
        <f t="shared" si="29"/>
        <v>0</v>
      </c>
      <c r="F39" s="6">
        <f t="shared" si="30"/>
        <v>0</v>
      </c>
      <c r="G39">
        <f t="shared" si="2"/>
        <v>0.36235775447667351</v>
      </c>
      <c r="H39" s="11">
        <v>1</v>
      </c>
      <c r="I39">
        <f t="shared" si="5"/>
        <v>-0.72</v>
      </c>
      <c r="J39">
        <f t="shared" si="6"/>
        <v>8.6399999999999991E-2</v>
      </c>
      <c r="K39">
        <f t="shared" si="7"/>
        <v>-4.1471999999999993E-3</v>
      </c>
      <c r="L39">
        <f t="shared" si="8"/>
        <v>1.066422857142857E-4</v>
      </c>
      <c r="M39">
        <f t="shared" si="9"/>
        <v>-1.7062765714285713E-6</v>
      </c>
      <c r="N39">
        <f t="shared" si="10"/>
        <v>1.8613926233766231E-8</v>
      </c>
      <c r="O39">
        <f t="shared" si="11"/>
        <v>-1.4727502075067786E-10</v>
      </c>
      <c r="P39">
        <f t="shared" si="12"/>
        <v>8.83650124504067E-13</v>
      </c>
      <c r="Q39">
        <f t="shared" si="13"/>
        <v>-4.1583535270779625E-15</v>
      </c>
      <c r="R39">
        <f t="shared" si="14"/>
        <v>1.5757971260505964E-17</v>
      </c>
    </row>
    <row r="40" spans="2:18" x14ac:dyDescent="0.25">
      <c r="B40">
        <v>1.3</v>
      </c>
      <c r="C40">
        <f t="shared" si="3"/>
        <v>1.0325011713754126</v>
      </c>
      <c r="D40">
        <f t="shared" si="4"/>
        <v>0.26749882862458735</v>
      </c>
      <c r="E40" s="5">
        <f t="shared" si="29"/>
        <v>0</v>
      </c>
      <c r="F40" s="6">
        <f t="shared" si="30"/>
        <v>0</v>
      </c>
      <c r="G40">
        <f t="shared" si="2"/>
        <v>0.26749882862458735</v>
      </c>
      <c r="H40" s="11">
        <v>1</v>
      </c>
      <c r="I40">
        <f t="shared" si="5"/>
        <v>-0.84500000000000008</v>
      </c>
      <c r="J40">
        <f t="shared" si="6"/>
        <v>0.11900416666666669</v>
      </c>
      <c r="K40">
        <f t="shared" si="7"/>
        <v>-6.7039013888888915E-3</v>
      </c>
      <c r="L40">
        <f t="shared" si="8"/>
        <v>2.0231416691468261E-4</v>
      </c>
      <c r="M40">
        <f t="shared" si="9"/>
        <v>-3.7990104676201513E-6</v>
      </c>
      <c r="N40">
        <f t="shared" si="10"/>
        <v>4.8638846138470127E-8</v>
      </c>
      <c r="O40">
        <f t="shared" si="11"/>
        <v>-4.5164642842865122E-10</v>
      </c>
      <c r="P40">
        <f t="shared" si="12"/>
        <v>3.1803436001850859E-12</v>
      </c>
      <c r="Q40">
        <f t="shared" si="13"/>
        <v>-1.7564642759192143E-14</v>
      </c>
      <c r="R40">
        <f t="shared" si="14"/>
        <v>7.8116437534301904E-17</v>
      </c>
    </row>
    <row r="41" spans="2:18" x14ac:dyDescent="0.25">
      <c r="B41">
        <v>1.4</v>
      </c>
      <c r="C41">
        <f t="shared" si="3"/>
        <v>1.230032857099759</v>
      </c>
      <c r="D41">
        <f t="shared" si="4"/>
        <v>0.16996714290024104</v>
      </c>
      <c r="E41" s="5">
        <f t="shared" si="29"/>
        <v>0</v>
      </c>
      <c r="F41" s="6">
        <f t="shared" si="30"/>
        <v>0</v>
      </c>
      <c r="G41">
        <f t="shared" si="2"/>
        <v>0.16996714290024101</v>
      </c>
      <c r="H41" s="11">
        <v>1</v>
      </c>
      <c r="I41">
        <f t="shared" si="5"/>
        <v>-0.97999999999999987</v>
      </c>
      <c r="J41">
        <f t="shared" si="6"/>
        <v>0.16006666666666661</v>
      </c>
      <c r="K41">
        <f t="shared" si="7"/>
        <v>-1.0457688888888884E-2</v>
      </c>
      <c r="L41">
        <f t="shared" si="8"/>
        <v>3.6601911111111091E-4</v>
      </c>
      <c r="M41">
        <f t="shared" si="9"/>
        <v>-7.9710828641975259E-6</v>
      </c>
      <c r="N41">
        <f t="shared" si="10"/>
        <v>1.1835850313505413E-7</v>
      </c>
      <c r="O41">
        <f t="shared" si="11"/>
        <v>-1.2746300337621213E-9</v>
      </c>
      <c r="P41">
        <f t="shared" si="12"/>
        <v>1.0409478609057323E-11</v>
      </c>
      <c r="Q41">
        <f t="shared" si="13"/>
        <v>-6.6675091744288718E-14</v>
      </c>
      <c r="R41">
        <f t="shared" si="14"/>
        <v>3.4390310478633127E-16</v>
      </c>
    </row>
    <row r="42" spans="2:18" x14ac:dyDescent="0.25">
      <c r="B42" s="15">
        <v>1.5</v>
      </c>
      <c r="C42">
        <f t="shared" si="3"/>
        <v>1.4292627983322972</v>
      </c>
      <c r="D42" s="15">
        <f t="shared" si="4"/>
        <v>7.0737201667702906E-2</v>
      </c>
      <c r="E42" s="5">
        <f t="shared" si="29"/>
        <v>0</v>
      </c>
      <c r="F42" s="6">
        <f t="shared" si="30"/>
        <v>0</v>
      </c>
      <c r="G42">
        <f t="shared" si="2"/>
        <v>7.0737201667702906E-2</v>
      </c>
      <c r="H42" s="11">
        <v>1</v>
      </c>
      <c r="I42">
        <f t="shared" si="5"/>
        <v>-1.125</v>
      </c>
      <c r="J42">
        <f t="shared" si="6"/>
        <v>0.2109375</v>
      </c>
      <c r="K42">
        <f t="shared" si="7"/>
        <v>-1.5820312499999999E-2</v>
      </c>
      <c r="L42">
        <f t="shared" si="8"/>
        <v>6.3563755580357145E-4</v>
      </c>
      <c r="M42">
        <f t="shared" si="9"/>
        <v>-1.5890938895089285E-5</v>
      </c>
      <c r="N42">
        <f t="shared" si="10"/>
        <v>2.7086827662084009E-7</v>
      </c>
      <c r="O42">
        <f t="shared" si="11"/>
        <v>-3.34864627690599E-9</v>
      </c>
      <c r="P42">
        <f t="shared" si="12"/>
        <v>3.1393558845993659E-11</v>
      </c>
      <c r="Q42">
        <f t="shared" si="13"/>
        <v>-2.3083499151465924E-13</v>
      </c>
      <c r="R42">
        <f t="shared" si="14"/>
        <v>1.3667861339683772E-15</v>
      </c>
    </row>
    <row r="43" spans="2:18" x14ac:dyDescent="0.25">
      <c r="B43">
        <v>1.6</v>
      </c>
      <c r="C43">
        <f t="shared" si="3"/>
        <v>1.6291995223012889</v>
      </c>
      <c r="D43">
        <f t="shared" si="4"/>
        <v>-2.9199522301288815E-2</v>
      </c>
      <c r="E43" s="5">
        <f t="shared" si="29"/>
        <v>0</v>
      </c>
      <c r="F43" s="6">
        <f t="shared" si="30"/>
        <v>0</v>
      </c>
      <c r="G43">
        <f t="shared" si="2"/>
        <v>-2.9199522301288836E-2</v>
      </c>
      <c r="H43" s="11">
        <v>1</v>
      </c>
      <c r="I43">
        <f t="shared" si="5"/>
        <v>-1.2800000000000002</v>
      </c>
      <c r="J43">
        <f t="shared" si="6"/>
        <v>0.27306666666666679</v>
      </c>
      <c r="K43">
        <f t="shared" si="7"/>
        <v>-2.3301688888888901E-2</v>
      </c>
      <c r="L43">
        <f t="shared" si="8"/>
        <v>1.0652200634920644E-3</v>
      </c>
      <c r="M43">
        <f t="shared" si="9"/>
        <v>-3.0299592917107616E-5</v>
      </c>
      <c r="N43">
        <f t="shared" si="10"/>
        <v>5.8762846869542064E-7</v>
      </c>
      <c r="O43">
        <f t="shared" si="11"/>
        <v>-8.2655432959355862E-9</v>
      </c>
      <c r="P43">
        <f t="shared" si="12"/>
        <v>8.8165795156646282E-11</v>
      </c>
      <c r="Q43">
        <f t="shared" si="13"/>
        <v>-7.3759619477455723E-13</v>
      </c>
      <c r="R43">
        <f t="shared" si="14"/>
        <v>4.9690691016391246E-15</v>
      </c>
    </row>
    <row r="44" spans="2:18" x14ac:dyDescent="0.25">
      <c r="B44">
        <v>1.7</v>
      </c>
      <c r="C44">
        <f t="shared" si="3"/>
        <v>1.8288444942955246</v>
      </c>
      <c r="D44">
        <f t="shared" si="4"/>
        <v>-0.12884449429552464</v>
      </c>
      <c r="E44" s="5">
        <f t="shared" si="29"/>
        <v>0</v>
      </c>
      <c r="F44" s="6">
        <f t="shared" si="30"/>
        <v>0</v>
      </c>
      <c r="G44">
        <f t="shared" si="2"/>
        <v>-0.12884449429552447</v>
      </c>
      <c r="H44" s="11">
        <v>1</v>
      </c>
      <c r="I44">
        <f t="shared" si="5"/>
        <v>-1.4449999999999998</v>
      </c>
      <c r="J44">
        <f t="shared" si="6"/>
        <v>0.34800416666666661</v>
      </c>
      <c r="K44">
        <f t="shared" si="7"/>
        <v>-3.3524401388888875E-2</v>
      </c>
      <c r="L44">
        <f t="shared" si="8"/>
        <v>1.7300985716765867E-3</v>
      </c>
      <c r="M44">
        <f t="shared" si="9"/>
        <v>-5.5555387468281499E-5</v>
      </c>
      <c r="N44">
        <f t="shared" si="10"/>
        <v>1.2163262862373752E-6</v>
      </c>
      <c r="O44">
        <f t="shared" si="11"/>
        <v>-1.9314192127615461E-8</v>
      </c>
      <c r="P44">
        <f t="shared" si="12"/>
        <v>2.3257506353670284E-10</v>
      </c>
      <c r="Q44">
        <f t="shared" si="13"/>
        <v>-2.1965422667355266E-12</v>
      </c>
      <c r="R44">
        <f t="shared" si="14"/>
        <v>1.6705281975962294E-14</v>
      </c>
    </row>
    <row r="45" spans="2:18" x14ac:dyDescent="0.25">
      <c r="B45">
        <v>1.8</v>
      </c>
      <c r="C45">
        <f t="shared" si="3"/>
        <v>2.0272020946930871</v>
      </c>
      <c r="D45">
        <f t="shared" si="4"/>
        <v>-0.22720209469308711</v>
      </c>
      <c r="E45" s="5">
        <f t="shared" si="29"/>
        <v>-3.8857805861880479E-16</v>
      </c>
      <c r="F45" s="6">
        <f t="shared" si="30"/>
        <v>1.7102749829120644E-15</v>
      </c>
      <c r="G45">
        <f t="shared" si="2"/>
        <v>-0.22720209469308672</v>
      </c>
      <c r="H45" s="11">
        <v>1</v>
      </c>
      <c r="I45">
        <f t="shared" si="5"/>
        <v>-1.62</v>
      </c>
      <c r="J45">
        <f t="shared" si="6"/>
        <v>0.43740000000000007</v>
      </c>
      <c r="K45">
        <f t="shared" si="7"/>
        <v>-4.7239200000000016E-2</v>
      </c>
      <c r="L45">
        <f t="shared" si="8"/>
        <v>2.733125142857144E-3</v>
      </c>
      <c r="M45">
        <f t="shared" si="9"/>
        <v>-9.8392505142857193E-5</v>
      </c>
      <c r="N45">
        <f t="shared" si="10"/>
        <v>2.4150887625974039E-6</v>
      </c>
      <c r="O45">
        <f t="shared" si="11"/>
        <v>-4.2993887861624117E-8</v>
      </c>
      <c r="P45">
        <f t="shared" si="12"/>
        <v>5.8041748613192565E-10</v>
      </c>
      <c r="Q45">
        <f t="shared" si="13"/>
        <v>-6.1455969119850948E-12</v>
      </c>
      <c r="R45">
        <f t="shared" si="14"/>
        <v>5.2399299986399245E-14</v>
      </c>
    </row>
    <row r="46" spans="2:18" x14ac:dyDescent="0.25">
      <c r="B46">
        <v>1.9</v>
      </c>
      <c r="C46">
        <f t="shared" si="3"/>
        <v>2.2232895668635031</v>
      </c>
      <c r="D46">
        <f t="shared" si="4"/>
        <v>-0.32328956686350335</v>
      </c>
      <c r="E46" s="5">
        <f t="shared" si="29"/>
        <v>-1.1102230246251565E-15</v>
      </c>
      <c r="F46" s="6">
        <f t="shared" si="30"/>
        <v>3.434144304118251E-15</v>
      </c>
      <c r="G46">
        <f t="shared" si="2"/>
        <v>-0.32328956686350224</v>
      </c>
      <c r="H46" s="11">
        <v>1</v>
      </c>
      <c r="I46">
        <f t="shared" si="5"/>
        <v>-1.8049999999999999</v>
      </c>
      <c r="J46">
        <f t="shared" si="6"/>
        <v>0.54300416666666662</v>
      </c>
      <c r="K46">
        <f t="shared" si="7"/>
        <v>-6.5341501388888876E-2</v>
      </c>
      <c r="L46">
        <f t="shared" si="8"/>
        <v>4.2121932145337297E-3</v>
      </c>
      <c r="M46">
        <f t="shared" si="9"/>
        <v>-1.6895575004963073E-4</v>
      </c>
      <c r="N46">
        <f t="shared" si="10"/>
        <v>4.6206837702967189E-6</v>
      </c>
      <c r="O46">
        <f t="shared" si="11"/>
        <v>-9.165202423500634E-8</v>
      </c>
      <c r="P46">
        <f t="shared" si="12"/>
        <v>1.3785991978682205E-9</v>
      </c>
      <c r="Q46">
        <f t="shared" si="13"/>
        <v>-1.6263866353935539E-11</v>
      </c>
      <c r="R46">
        <f t="shared" si="14"/>
        <v>1.5450673036238764E-13</v>
      </c>
    </row>
    <row r="47" spans="2:18" x14ac:dyDescent="0.25">
      <c r="B47">
        <v>2</v>
      </c>
      <c r="C47">
        <f t="shared" si="3"/>
        <v>2.4161468365471426</v>
      </c>
      <c r="D47">
        <f t="shared" si="4"/>
        <v>-0.41614683654714241</v>
      </c>
      <c r="E47" s="5">
        <f t="shared" si="29"/>
        <v>-3.6637359812630166E-15</v>
      </c>
      <c r="F47" s="6">
        <f t="shared" si="30"/>
        <v>8.8039500952639755E-15</v>
      </c>
      <c r="G47">
        <f t="shared" si="2"/>
        <v>-0.41614683654713874</v>
      </c>
      <c r="H47" s="11">
        <v>1</v>
      </c>
      <c r="I47">
        <f t="shared" si="5"/>
        <v>-2</v>
      </c>
      <c r="J47">
        <f t="shared" si="6"/>
        <v>0.66666666666666663</v>
      </c>
      <c r="K47">
        <f t="shared" si="7"/>
        <v>-8.8888888888888892E-2</v>
      </c>
      <c r="L47">
        <f t="shared" si="8"/>
        <v>6.3492063492063492E-3</v>
      </c>
      <c r="M47">
        <f t="shared" si="9"/>
        <v>-2.821869488536155E-4</v>
      </c>
      <c r="N47">
        <f t="shared" si="10"/>
        <v>8.5511196622307738E-6</v>
      </c>
      <c r="O47">
        <f t="shared" si="11"/>
        <v>-1.8793669587320381E-7</v>
      </c>
      <c r="P47">
        <f t="shared" si="12"/>
        <v>3.1322782645533968E-9</v>
      </c>
      <c r="Q47">
        <f t="shared" si="13"/>
        <v>-4.0944813915730674E-11</v>
      </c>
      <c r="R47">
        <f t="shared" si="14"/>
        <v>4.3099804121821766E-13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0B19-E2B4-4161-B73E-FC86932F9275}">
  <dimension ref="B2:L43"/>
  <sheetViews>
    <sheetView zoomScale="115" zoomScaleNormal="115" workbookViewId="0">
      <selection activeCell="G8" sqref="G8"/>
    </sheetView>
  </sheetViews>
  <sheetFormatPr defaultColWidth="8.81640625" defaultRowHeight="14" x14ac:dyDescent="0.25"/>
  <cols>
    <col min="1" max="1" width="2.36328125" customWidth="1"/>
    <col min="2" max="2" width="6" customWidth="1"/>
    <col min="3" max="3" width="13.7265625" customWidth="1"/>
    <col min="4" max="4" width="13.36328125" customWidth="1"/>
    <col min="5" max="5" width="10" customWidth="1"/>
    <col min="6" max="6" width="13.6328125" customWidth="1"/>
    <col min="7" max="7" width="10.6328125" customWidth="1"/>
    <col min="8" max="11" width="15.6328125" style="1" customWidth="1"/>
  </cols>
  <sheetData>
    <row r="2" spans="2:12" s="2" customFormat="1" x14ac:dyDescent="0.25">
      <c r="B2" s="4" t="s">
        <v>0</v>
      </c>
      <c r="C2" s="4" t="s">
        <v>26</v>
      </c>
      <c r="D2" s="4" t="s">
        <v>2</v>
      </c>
      <c r="E2" s="4" t="s">
        <v>3</v>
      </c>
      <c r="F2" s="4" t="s">
        <v>1</v>
      </c>
      <c r="G2" s="4" t="s">
        <v>0</v>
      </c>
      <c r="H2" s="9" t="s">
        <v>4</v>
      </c>
      <c r="I2" s="9" t="s">
        <v>27</v>
      </c>
      <c r="J2" s="9" t="s">
        <v>28</v>
      </c>
      <c r="K2" s="9" t="s">
        <v>29</v>
      </c>
      <c r="L2" s="3"/>
    </row>
    <row r="3" spans="2:12" x14ac:dyDescent="0.25">
      <c r="B3">
        <v>-2</v>
      </c>
      <c r="C3">
        <f>TAN(B3)</f>
        <v>2.1850398632615189</v>
      </c>
      <c r="D3" s="7">
        <f t="shared" ref="D3:D22" si="0">C3-F3</f>
        <v>6.570930515818838</v>
      </c>
      <c r="E3" s="8">
        <f t="shared" ref="E3:E22" si="1">D3/C3</f>
        <v>3.0072359897410208</v>
      </c>
      <c r="F3">
        <f t="shared" ref="F3:F43" si="2">SUM(G3:K3)</f>
        <v>-4.3858906525573191</v>
      </c>
      <c r="G3" s="12">
        <f>B3</f>
        <v>-2</v>
      </c>
      <c r="H3">
        <f>B3^3/FACT(3)</f>
        <v>-1.3333333333333333</v>
      </c>
      <c r="I3">
        <f>2*B3^5/FACT(5)</f>
        <v>-0.53333333333333333</v>
      </c>
      <c r="J3">
        <f>17*B3^7/FACT(7)</f>
        <v>-0.43174603174603177</v>
      </c>
      <c r="K3">
        <f>62*B3^9/FACT(9)</f>
        <v>-8.7477954144620812E-2</v>
      </c>
      <c r="L3" s="1"/>
    </row>
    <row r="4" spans="2:12" x14ac:dyDescent="0.25">
      <c r="B4">
        <v>-1.9</v>
      </c>
      <c r="C4">
        <f t="shared" ref="C4:C43" si="3">TAN(B4)</f>
        <v>2.9270975146777736</v>
      </c>
      <c r="D4" s="5">
        <f t="shared" si="0"/>
        <v>6.7395846333833997</v>
      </c>
      <c r="E4" s="6">
        <f t="shared" si="1"/>
        <v>2.3024803921250023</v>
      </c>
      <c r="F4">
        <f t="shared" si="2"/>
        <v>-3.8124871187056266</v>
      </c>
      <c r="G4" s="12">
        <f t="shared" ref="G4:G21" si="4">B4</f>
        <v>-1.9</v>
      </c>
      <c r="H4">
        <f t="shared" ref="H4:H21" si="5">B4^3/FACT(3)</f>
        <v>-1.1431666666666664</v>
      </c>
      <c r="I4">
        <f t="shared" ref="I4:I21" si="6">2*B4^5/FACT(5)</f>
        <v>-0.41268316666666666</v>
      </c>
      <c r="J4">
        <f t="shared" ref="J4:J21" si="7">17*B4^7/FACT(7)</f>
        <v>-0.30150435640873013</v>
      </c>
      <c r="K4">
        <f t="shared" ref="K4:K21" si="8">62*B4^9/FACT(9)</f>
        <v>-5.5132928963563706E-2</v>
      </c>
      <c r="L4" s="1"/>
    </row>
    <row r="5" spans="2:12" x14ac:dyDescent="0.25">
      <c r="B5">
        <v>-1.8</v>
      </c>
      <c r="C5">
        <f t="shared" si="3"/>
        <v>4.2862616746280624</v>
      </c>
      <c r="D5" s="5">
        <f t="shared" si="0"/>
        <v>7.6135832149709195</v>
      </c>
      <c r="E5" s="6">
        <f t="shared" si="1"/>
        <v>1.7762758769578815</v>
      </c>
      <c r="F5">
        <f t="shared" si="2"/>
        <v>-3.3273215403428575</v>
      </c>
      <c r="G5" s="12">
        <f t="shared" si="4"/>
        <v>-1.8</v>
      </c>
      <c r="H5">
        <f t="shared" si="5"/>
        <v>-0.97200000000000009</v>
      </c>
      <c r="I5">
        <f t="shared" si="6"/>
        <v>-0.3149280000000001</v>
      </c>
      <c r="J5">
        <f t="shared" si="7"/>
        <v>-0.20650278857142862</v>
      </c>
      <c r="K5">
        <f t="shared" si="8"/>
        <v>-3.3890751771428584E-2</v>
      </c>
      <c r="L5" s="1"/>
    </row>
    <row r="6" spans="2:12" x14ac:dyDescent="0.25">
      <c r="B6">
        <v>-1.7</v>
      </c>
      <c r="C6">
        <f t="shared" si="3"/>
        <v>7.6966021394591611</v>
      </c>
      <c r="D6" s="5">
        <f t="shared" si="0"/>
        <v>10.610747568466033</v>
      </c>
      <c r="E6" s="6">
        <f t="shared" si="1"/>
        <v>1.3786275263036591</v>
      </c>
      <c r="F6">
        <f t="shared" si="2"/>
        <v>-2.9141454290068727</v>
      </c>
      <c r="G6" s="12">
        <f t="shared" si="4"/>
        <v>-1.7</v>
      </c>
      <c r="H6">
        <f t="shared" si="5"/>
        <v>-0.81883333333333319</v>
      </c>
      <c r="I6">
        <f t="shared" si="6"/>
        <v>-0.23664283333333327</v>
      </c>
      <c r="J6">
        <f t="shared" si="7"/>
        <v>-0.13840788573412693</v>
      </c>
      <c r="K6">
        <f t="shared" si="8"/>
        <v>-2.0261376606079136E-2</v>
      </c>
      <c r="L6" s="1"/>
    </row>
    <row r="7" spans="2:12" x14ac:dyDescent="0.25">
      <c r="B7">
        <v>-1.6</v>
      </c>
      <c r="C7">
        <f t="shared" si="3"/>
        <v>34.232532735557314</v>
      </c>
      <c r="D7" s="5">
        <f t="shared" si="0"/>
        <v>36.792246866542854</v>
      </c>
      <c r="E7" s="6">
        <f t="shared" si="1"/>
        <v>1.0747743133924406</v>
      </c>
      <c r="F7">
        <f t="shared" si="2"/>
        <v>-2.5597141309855385</v>
      </c>
      <c r="G7" s="12">
        <f t="shared" si="4"/>
        <v>-1.6</v>
      </c>
      <c r="H7">
        <f t="shared" si="5"/>
        <v>-0.68266666666666687</v>
      </c>
      <c r="I7">
        <f t="shared" si="6"/>
        <v>-0.17476266666666676</v>
      </c>
      <c r="J7">
        <f t="shared" si="7"/>
        <v>-9.0543705396825463E-2</v>
      </c>
      <c r="K7">
        <f t="shared" si="8"/>
        <v>-1.1741092255379199E-2</v>
      </c>
      <c r="L7" s="1"/>
    </row>
    <row r="8" spans="2:12" x14ac:dyDescent="0.25">
      <c r="B8">
        <v>-1.5</v>
      </c>
      <c r="C8">
        <f t="shared" si="3"/>
        <v>-14.101419947171719</v>
      </c>
      <c r="D8" s="5">
        <f t="shared" si="0"/>
        <v>-11.848158054035558</v>
      </c>
      <c r="E8" s="6">
        <f t="shared" si="1"/>
        <v>0.84021028367514927</v>
      </c>
      <c r="F8">
        <f t="shared" si="2"/>
        <v>-2.2532618931361603</v>
      </c>
      <c r="G8" s="12">
        <f t="shared" si="4"/>
        <v>-1.5</v>
      </c>
      <c r="H8">
        <f t="shared" si="5"/>
        <v>-0.5625</v>
      </c>
      <c r="I8">
        <f t="shared" si="6"/>
        <v>-0.12656249999999999</v>
      </c>
      <c r="J8">
        <f t="shared" si="7"/>
        <v>-5.7631138392857141E-2</v>
      </c>
      <c r="K8">
        <f t="shared" si="8"/>
        <v>-6.5682547433035714E-3</v>
      </c>
      <c r="L8" s="1"/>
    </row>
    <row r="9" spans="2:12" x14ac:dyDescent="0.25">
      <c r="B9">
        <v>-1.4</v>
      </c>
      <c r="C9">
        <f t="shared" si="3"/>
        <v>-5.7978837154828868</v>
      </c>
      <c r="D9" s="5">
        <f t="shared" si="0"/>
        <v>-3.8118268556112822</v>
      </c>
      <c r="E9" s="6">
        <f t="shared" si="1"/>
        <v>0.65745141549355957</v>
      </c>
      <c r="F9">
        <f t="shared" si="2"/>
        <v>-1.9860568598716046</v>
      </c>
      <c r="G9" s="12">
        <f t="shared" si="4"/>
        <v>-1.4</v>
      </c>
      <c r="H9">
        <f t="shared" si="5"/>
        <v>-0.4573333333333332</v>
      </c>
      <c r="I9">
        <f t="shared" si="6"/>
        <v>-8.9637333333333305E-2</v>
      </c>
      <c r="J9">
        <f t="shared" si="7"/>
        <v>-3.5556142222222205E-2</v>
      </c>
      <c r="K9">
        <f t="shared" si="8"/>
        <v>-3.5300509827160473E-3</v>
      </c>
      <c r="L9" s="1"/>
    </row>
    <row r="10" spans="2:12" x14ac:dyDescent="0.25">
      <c r="B10">
        <v>-1.3</v>
      </c>
      <c r="C10">
        <f t="shared" si="3"/>
        <v>-3.6021024479679786</v>
      </c>
      <c r="D10" s="5">
        <f t="shared" si="0"/>
        <v>-1.8510766044882441</v>
      </c>
      <c r="E10" s="6">
        <f t="shared" si="1"/>
        <v>0.51388782835215452</v>
      </c>
      <c r="F10">
        <f t="shared" si="2"/>
        <v>-1.7510258434797346</v>
      </c>
      <c r="G10" s="12">
        <f t="shared" si="4"/>
        <v>-1.3</v>
      </c>
      <c r="H10">
        <f t="shared" si="5"/>
        <v>-0.36616666666666675</v>
      </c>
      <c r="I10">
        <f t="shared" si="6"/>
        <v>-6.1882166666666683E-2</v>
      </c>
      <c r="J10">
        <f t="shared" si="7"/>
        <v>-2.1165174384920642E-2</v>
      </c>
      <c r="K10">
        <f t="shared" si="8"/>
        <v>-1.8118357614803798E-3</v>
      </c>
      <c r="L10" s="1"/>
    </row>
    <row r="11" spans="2:12" x14ac:dyDescent="0.25">
      <c r="B11">
        <v>-1.2</v>
      </c>
      <c r="C11">
        <f t="shared" si="3"/>
        <v>-2.5721516221263188</v>
      </c>
      <c r="D11" s="5">
        <f t="shared" si="0"/>
        <v>-1.0297119201834617</v>
      </c>
      <c r="E11" s="6">
        <f t="shared" si="1"/>
        <v>0.40033095690223364</v>
      </c>
      <c r="F11">
        <f t="shared" si="2"/>
        <v>-1.5424397019428571</v>
      </c>
      <c r="G11" s="12">
        <f t="shared" si="4"/>
        <v>-1.2</v>
      </c>
      <c r="H11">
        <f t="shared" si="5"/>
        <v>-0.28799999999999998</v>
      </c>
      <c r="I11">
        <f t="shared" si="6"/>
        <v>-4.1471999999999995E-2</v>
      </c>
      <c r="J11">
        <f t="shared" si="7"/>
        <v>-1.2086125714285714E-2</v>
      </c>
      <c r="K11">
        <f t="shared" si="8"/>
        <v>-8.815762285714284E-4</v>
      </c>
      <c r="L11" s="1"/>
    </row>
    <row r="12" spans="2:12" x14ac:dyDescent="0.25">
      <c r="B12">
        <v>-1.1000000000000001</v>
      </c>
      <c r="C12">
        <f t="shared" si="3"/>
        <v>-1.9647596572486523</v>
      </c>
      <c r="D12" s="5">
        <f t="shared" si="0"/>
        <v>-0.60910856882481523</v>
      </c>
      <c r="E12" s="6">
        <f t="shared" si="1"/>
        <v>0.31001683415964443</v>
      </c>
      <c r="F12">
        <f t="shared" si="2"/>
        <v>-1.3556510884238371</v>
      </c>
      <c r="G12" s="12">
        <f t="shared" si="4"/>
        <v>-1.1000000000000001</v>
      </c>
      <c r="H12">
        <f t="shared" si="5"/>
        <v>-0.22183333333333341</v>
      </c>
      <c r="I12">
        <f t="shared" si="6"/>
        <v>-2.6841833333333343E-2</v>
      </c>
      <c r="J12">
        <f t="shared" si="7"/>
        <v>-6.5730537103174643E-3</v>
      </c>
      <c r="K12">
        <f t="shared" si="8"/>
        <v>-4.0286804685295437E-4</v>
      </c>
      <c r="L12" s="1"/>
    </row>
    <row r="13" spans="2:12" x14ac:dyDescent="0.25">
      <c r="B13">
        <v>-1</v>
      </c>
      <c r="C13">
        <f t="shared" si="3"/>
        <v>-1.5574077246549023</v>
      </c>
      <c r="D13" s="5">
        <f t="shared" si="0"/>
        <v>-0.37053052006936427</v>
      </c>
      <c r="E13" s="6">
        <f t="shared" si="1"/>
        <v>0.23791491091484612</v>
      </c>
      <c r="F13">
        <f t="shared" si="2"/>
        <v>-1.186877204585538</v>
      </c>
      <c r="G13" s="12">
        <f t="shared" si="4"/>
        <v>-1</v>
      </c>
      <c r="H13">
        <f t="shared" si="5"/>
        <v>-0.16666666666666666</v>
      </c>
      <c r="I13">
        <f t="shared" si="6"/>
        <v>-1.6666666666666666E-2</v>
      </c>
      <c r="J13">
        <f t="shared" si="7"/>
        <v>-3.3730158730158732E-3</v>
      </c>
      <c r="K13">
        <f t="shared" si="8"/>
        <v>-1.7085537918871252E-4</v>
      </c>
      <c r="L13" s="1"/>
    </row>
    <row r="14" spans="2:12" x14ac:dyDescent="0.25">
      <c r="B14">
        <v>-0.9</v>
      </c>
      <c r="C14">
        <f t="shared" si="3"/>
        <v>-1.2601582175503392</v>
      </c>
      <c r="D14" s="5">
        <f t="shared" si="0"/>
        <v>-0.22713722164007111</v>
      </c>
      <c r="E14" s="5">
        <f t="shared" si="1"/>
        <v>0.18024500295019322</v>
      </c>
      <c r="F14">
        <f t="shared" si="2"/>
        <v>-1.0330209959102681</v>
      </c>
      <c r="G14" s="12">
        <f t="shared" si="4"/>
        <v>-0.9</v>
      </c>
      <c r="H14">
        <f t="shared" si="5"/>
        <v>-0.12150000000000001</v>
      </c>
      <c r="I14">
        <f t="shared" si="6"/>
        <v>-9.841500000000003E-3</v>
      </c>
      <c r="J14">
        <f t="shared" si="7"/>
        <v>-1.6133030357142861E-3</v>
      </c>
      <c r="K14">
        <f t="shared" si="8"/>
        <v>-6.6192874553571454E-5</v>
      </c>
      <c r="L14" s="1"/>
    </row>
    <row r="15" spans="2:12" x14ac:dyDescent="0.25">
      <c r="B15" s="13">
        <v>-0.8</v>
      </c>
      <c r="C15">
        <f t="shared" si="3"/>
        <v>-1.0296385570503641</v>
      </c>
      <c r="D15" s="5">
        <f t="shared" si="0"/>
        <v>-0.13811358586447342</v>
      </c>
      <c r="E15" s="5">
        <f t="shared" si="1"/>
        <v>0.13413793113976955</v>
      </c>
      <c r="F15">
        <f t="shared" si="2"/>
        <v>-0.89152497118589069</v>
      </c>
      <c r="G15" s="12">
        <f t="shared" si="4"/>
        <v>-0.8</v>
      </c>
      <c r="H15">
        <f t="shared" si="5"/>
        <v>-8.5333333333333358E-2</v>
      </c>
      <c r="I15">
        <f t="shared" si="6"/>
        <v>-5.4613333333333363E-3</v>
      </c>
      <c r="J15">
        <f t="shared" si="7"/>
        <v>-7.0737269841269893E-4</v>
      </c>
      <c r="K15">
        <f t="shared" si="8"/>
        <v>-2.2931820811287497E-5</v>
      </c>
      <c r="L15" s="1"/>
    </row>
    <row r="16" spans="2:12" x14ac:dyDescent="0.25">
      <c r="B16" s="13">
        <v>-0.7</v>
      </c>
      <c r="C16">
        <f t="shared" si="3"/>
        <v>-0.84228838046307941</v>
      </c>
      <c r="D16" s="5">
        <f t="shared" si="0"/>
        <v>-8.2035870137809441E-2</v>
      </c>
      <c r="E16" s="5">
        <f t="shared" si="1"/>
        <v>9.7396416762519228E-2</v>
      </c>
      <c r="F16">
        <f t="shared" si="2"/>
        <v>-0.76025251032526997</v>
      </c>
      <c r="G16" s="12">
        <f t="shared" si="4"/>
        <v>-0.7</v>
      </c>
      <c r="H16">
        <f t="shared" si="5"/>
        <v>-5.716666666666665E-2</v>
      </c>
      <c r="I16">
        <f t="shared" si="6"/>
        <v>-2.8011666666666658E-3</v>
      </c>
      <c r="J16">
        <f t="shared" si="7"/>
        <v>-2.7778236111111098E-4</v>
      </c>
      <c r="K16">
        <f t="shared" si="8"/>
        <v>-6.8946308256172798E-6</v>
      </c>
      <c r="L16" s="1"/>
    </row>
    <row r="17" spans="2:12" x14ac:dyDescent="0.25">
      <c r="B17" s="13">
        <v>-0.6</v>
      </c>
      <c r="C17">
        <f t="shared" si="3"/>
        <v>-0.68413680834169233</v>
      </c>
      <c r="D17" s="5">
        <f t="shared" si="0"/>
        <v>-4.6744663655978069E-2</v>
      </c>
      <c r="E17" s="5">
        <f t="shared" si="1"/>
        <v>6.8326485413472207E-2</v>
      </c>
      <c r="F17">
        <f t="shared" si="2"/>
        <v>-0.63739214468571426</v>
      </c>
      <c r="G17" s="12">
        <f t="shared" si="4"/>
        <v>-0.6</v>
      </c>
      <c r="H17">
        <f t="shared" si="5"/>
        <v>-3.5999999999999997E-2</v>
      </c>
      <c r="I17">
        <f t="shared" si="6"/>
        <v>-1.2959999999999998E-3</v>
      </c>
      <c r="J17">
        <f t="shared" si="7"/>
        <v>-9.4422857142857137E-5</v>
      </c>
      <c r="K17">
        <f t="shared" si="8"/>
        <v>-1.7218285714285711E-6</v>
      </c>
      <c r="L17" s="1"/>
    </row>
    <row r="18" spans="2:12" x14ac:dyDescent="0.25">
      <c r="B18" s="13">
        <v>-0.5</v>
      </c>
      <c r="C18">
        <f t="shared" si="3"/>
        <v>-0.54630248984379048</v>
      </c>
      <c r="D18" s="5">
        <f t="shared" si="0"/>
        <v>-2.4921637788703488E-2</v>
      </c>
      <c r="E18" s="5">
        <f t="shared" si="1"/>
        <v>4.5618751977186796E-2</v>
      </c>
      <c r="F18">
        <f t="shared" si="2"/>
        <v>-0.521380852055087</v>
      </c>
      <c r="G18" s="12">
        <f t="shared" si="4"/>
        <v>-0.5</v>
      </c>
      <c r="H18">
        <f t="shared" si="5"/>
        <v>-2.0833333333333332E-2</v>
      </c>
      <c r="I18">
        <f t="shared" si="6"/>
        <v>-5.2083333333333333E-4</v>
      </c>
      <c r="J18">
        <f t="shared" si="7"/>
        <v>-2.6351686507936509E-5</v>
      </c>
      <c r="K18">
        <f t="shared" si="8"/>
        <v>-3.3370191247795415E-7</v>
      </c>
      <c r="L18" s="1"/>
    </row>
    <row r="19" spans="2:12" x14ac:dyDescent="0.25">
      <c r="B19" s="13">
        <v>-0.4</v>
      </c>
      <c r="C19">
        <f t="shared" si="3"/>
        <v>-0.42279321873816178</v>
      </c>
      <c r="D19" s="5">
        <f t="shared" si="0"/>
        <v>-1.1950314266909567E-2</v>
      </c>
      <c r="E19" s="5">
        <f t="shared" si="1"/>
        <v>2.8265151230607754E-2</v>
      </c>
      <c r="F19">
        <f t="shared" si="2"/>
        <v>-0.41084290447125221</v>
      </c>
      <c r="G19" s="12">
        <f t="shared" si="4"/>
        <v>-0.4</v>
      </c>
      <c r="H19">
        <f t="shared" si="5"/>
        <v>-1.066666666666667E-2</v>
      </c>
      <c r="I19">
        <f t="shared" si="6"/>
        <v>-1.7066666666666676E-4</v>
      </c>
      <c r="J19">
        <f t="shared" si="7"/>
        <v>-5.5263492063492104E-6</v>
      </c>
      <c r="K19">
        <f t="shared" si="8"/>
        <v>-4.4788712522045893E-8</v>
      </c>
      <c r="L19" s="1"/>
    </row>
    <row r="20" spans="2:12" x14ac:dyDescent="0.25">
      <c r="B20" s="13">
        <v>-0.3</v>
      </c>
      <c r="C20">
        <f t="shared" si="3"/>
        <v>-0.30933624960962325</v>
      </c>
      <c r="D20" s="5">
        <f t="shared" si="0"/>
        <v>-4.7950085681053856E-3</v>
      </c>
      <c r="E20" s="5">
        <f t="shared" si="1"/>
        <v>1.5500959147712561E-2</v>
      </c>
      <c r="F20">
        <f t="shared" si="2"/>
        <v>-0.30454124104151786</v>
      </c>
      <c r="G20" s="12">
        <f t="shared" si="4"/>
        <v>-0.3</v>
      </c>
      <c r="H20">
        <f t="shared" si="5"/>
        <v>-4.4999999999999997E-3</v>
      </c>
      <c r="I20">
        <f t="shared" si="6"/>
        <v>-4.0499999999999995E-5</v>
      </c>
      <c r="J20">
        <f t="shared" si="7"/>
        <v>-7.3767857142857138E-7</v>
      </c>
      <c r="K20">
        <f t="shared" si="8"/>
        <v>-3.3629464285714279E-9</v>
      </c>
      <c r="L20" s="1"/>
    </row>
    <row r="21" spans="2:12" x14ac:dyDescent="0.25">
      <c r="B21" s="13">
        <v>-0.2</v>
      </c>
      <c r="C21">
        <f t="shared" si="3"/>
        <v>-0.2027100355086725</v>
      </c>
      <c r="D21" s="5">
        <f t="shared" si="0"/>
        <v>-1.3713255799247259E-3</v>
      </c>
      <c r="E21" s="5">
        <f t="shared" si="1"/>
        <v>6.7649614706226857E-3</v>
      </c>
      <c r="F21">
        <f t="shared" si="2"/>
        <v>-0.20133870992874778</v>
      </c>
      <c r="G21" s="12">
        <f t="shared" si="4"/>
        <v>-0.2</v>
      </c>
      <c r="H21">
        <f t="shared" si="5"/>
        <v>-1.3333333333333337E-3</v>
      </c>
      <c r="I21">
        <f t="shared" si="6"/>
        <v>-5.3333333333333362E-6</v>
      </c>
      <c r="J21">
        <f t="shared" si="7"/>
        <v>-4.3174603174603206E-8</v>
      </c>
      <c r="K21">
        <f t="shared" si="8"/>
        <v>-8.7477954144620885E-11</v>
      </c>
      <c r="L21" s="1"/>
    </row>
    <row r="22" spans="2:12" x14ac:dyDescent="0.25">
      <c r="B22" s="13">
        <v>-0.1</v>
      </c>
      <c r="C22">
        <f t="shared" si="3"/>
        <v>-0.10033467208545055</v>
      </c>
      <c r="D22" s="5">
        <f t="shared" si="0"/>
        <v>-1.6783841464478033E-4</v>
      </c>
      <c r="E22" s="5">
        <f t="shared" si="1"/>
        <v>1.6727857993280714E-3</v>
      </c>
      <c r="F22">
        <f t="shared" si="2"/>
        <v>-0.10016683367080577</v>
      </c>
      <c r="G22" s="12">
        <f t="shared" ref="G22:G43" si="9">B22</f>
        <v>-0.1</v>
      </c>
      <c r="H22">
        <f t="shared" ref="H22:H43" si="10">B22^3/FACT(3)</f>
        <v>-1.6666666666666672E-4</v>
      </c>
      <c r="I22">
        <f t="shared" ref="I22:I43" si="11">2*B22^5/FACT(5)</f>
        <v>-1.6666666666666676E-7</v>
      </c>
      <c r="J22">
        <f t="shared" ref="J22:J43" si="12">17*B22^7/FACT(7)</f>
        <v>-3.3730158730158755E-10</v>
      </c>
      <c r="K22">
        <f t="shared" ref="K22:K43" si="13">62*B22^9/FACT(9)</f>
        <v>-1.7085537918871267E-13</v>
      </c>
      <c r="L22" s="1"/>
    </row>
    <row r="23" spans="2:12" x14ac:dyDescent="0.25">
      <c r="B23" s="13">
        <v>0</v>
      </c>
      <c r="C23">
        <f t="shared" si="3"/>
        <v>0</v>
      </c>
      <c r="D23" s="5">
        <f>C23-F23</f>
        <v>0</v>
      </c>
      <c r="E23" s="5" t="e">
        <f>D23/C23</f>
        <v>#DIV/0!</v>
      </c>
      <c r="F23">
        <f t="shared" si="2"/>
        <v>0</v>
      </c>
      <c r="G23" s="12">
        <f t="shared" si="9"/>
        <v>0</v>
      </c>
      <c r="H23">
        <f t="shared" si="10"/>
        <v>0</v>
      </c>
      <c r="I23">
        <f t="shared" si="11"/>
        <v>0</v>
      </c>
      <c r="J23">
        <f t="shared" si="12"/>
        <v>0</v>
      </c>
      <c r="K23">
        <f t="shared" si="13"/>
        <v>0</v>
      </c>
    </row>
    <row r="24" spans="2:12" x14ac:dyDescent="0.25">
      <c r="B24" s="13">
        <v>0.1</v>
      </c>
      <c r="C24">
        <f t="shared" si="3"/>
        <v>0.10033467208545055</v>
      </c>
      <c r="D24" s="5">
        <f t="shared" ref="D24:D43" si="14">C24-F24</f>
        <v>1.6783841464478033E-4</v>
      </c>
      <c r="E24" s="5">
        <f t="shared" ref="E24:E43" si="15">D24/C24</f>
        <v>1.6727857993280714E-3</v>
      </c>
      <c r="F24">
        <f t="shared" si="2"/>
        <v>0.10016683367080577</v>
      </c>
      <c r="G24" s="12">
        <f t="shared" si="9"/>
        <v>0.1</v>
      </c>
      <c r="H24">
        <f t="shared" si="10"/>
        <v>1.6666666666666672E-4</v>
      </c>
      <c r="I24">
        <f t="shared" si="11"/>
        <v>1.6666666666666676E-7</v>
      </c>
      <c r="J24">
        <f t="shared" si="12"/>
        <v>3.3730158730158755E-10</v>
      </c>
      <c r="K24">
        <f t="shared" si="13"/>
        <v>1.7085537918871267E-13</v>
      </c>
    </row>
    <row r="25" spans="2:12" x14ac:dyDescent="0.25">
      <c r="B25" s="13">
        <v>0.2</v>
      </c>
      <c r="C25">
        <f t="shared" si="3"/>
        <v>0.2027100355086725</v>
      </c>
      <c r="D25" s="5">
        <f t="shared" si="14"/>
        <v>1.3713255799247259E-3</v>
      </c>
      <c r="E25" s="5">
        <f t="shared" si="15"/>
        <v>6.7649614706226857E-3</v>
      </c>
      <c r="F25">
        <f t="shared" si="2"/>
        <v>0.20133870992874778</v>
      </c>
      <c r="G25" s="12">
        <f t="shared" si="9"/>
        <v>0.2</v>
      </c>
      <c r="H25">
        <f t="shared" si="10"/>
        <v>1.3333333333333337E-3</v>
      </c>
      <c r="I25">
        <f t="shared" si="11"/>
        <v>5.3333333333333362E-6</v>
      </c>
      <c r="J25">
        <f t="shared" si="12"/>
        <v>4.3174603174603206E-8</v>
      </c>
      <c r="K25">
        <f t="shared" si="13"/>
        <v>8.7477954144620885E-11</v>
      </c>
    </row>
    <row r="26" spans="2:12" x14ac:dyDescent="0.25">
      <c r="B26" s="13">
        <v>0.3</v>
      </c>
      <c r="C26">
        <f t="shared" si="3"/>
        <v>0.30933624960962325</v>
      </c>
      <c r="D26" s="5">
        <f t="shared" si="14"/>
        <v>4.7950085681053856E-3</v>
      </c>
      <c r="E26" s="5">
        <f t="shared" si="15"/>
        <v>1.5500959147712561E-2</v>
      </c>
      <c r="F26">
        <f t="shared" si="2"/>
        <v>0.30454124104151786</v>
      </c>
      <c r="G26" s="12">
        <f t="shared" si="9"/>
        <v>0.3</v>
      </c>
      <c r="H26">
        <f t="shared" si="10"/>
        <v>4.4999999999999997E-3</v>
      </c>
      <c r="I26">
        <f t="shared" si="11"/>
        <v>4.0499999999999995E-5</v>
      </c>
      <c r="J26">
        <f t="shared" si="12"/>
        <v>7.3767857142857138E-7</v>
      </c>
      <c r="K26">
        <f t="shared" si="13"/>
        <v>3.3629464285714279E-9</v>
      </c>
    </row>
    <row r="27" spans="2:12" x14ac:dyDescent="0.25">
      <c r="B27" s="13">
        <v>0.4</v>
      </c>
      <c r="C27">
        <f t="shared" si="3"/>
        <v>0.42279321873816178</v>
      </c>
      <c r="D27" s="5">
        <f t="shared" si="14"/>
        <v>1.1950314266909567E-2</v>
      </c>
      <c r="E27" s="5">
        <f t="shared" si="15"/>
        <v>2.8265151230607754E-2</v>
      </c>
      <c r="F27">
        <f t="shared" si="2"/>
        <v>0.41084290447125221</v>
      </c>
      <c r="G27" s="12">
        <f t="shared" si="9"/>
        <v>0.4</v>
      </c>
      <c r="H27">
        <f t="shared" si="10"/>
        <v>1.066666666666667E-2</v>
      </c>
      <c r="I27">
        <f t="shared" si="11"/>
        <v>1.7066666666666676E-4</v>
      </c>
      <c r="J27">
        <f t="shared" si="12"/>
        <v>5.5263492063492104E-6</v>
      </c>
      <c r="K27">
        <f t="shared" si="13"/>
        <v>4.4788712522045893E-8</v>
      </c>
    </row>
    <row r="28" spans="2:12" x14ac:dyDescent="0.25">
      <c r="B28" s="13">
        <v>0.5</v>
      </c>
      <c r="C28">
        <f t="shared" si="3"/>
        <v>0.54630248984379048</v>
      </c>
      <c r="D28" s="5">
        <f t="shared" si="14"/>
        <v>2.4921637788703488E-2</v>
      </c>
      <c r="E28" s="5">
        <f t="shared" si="15"/>
        <v>4.5618751977186796E-2</v>
      </c>
      <c r="F28">
        <f t="shared" si="2"/>
        <v>0.521380852055087</v>
      </c>
      <c r="G28" s="12">
        <f t="shared" si="9"/>
        <v>0.5</v>
      </c>
      <c r="H28">
        <f t="shared" si="10"/>
        <v>2.0833333333333332E-2</v>
      </c>
      <c r="I28">
        <f t="shared" si="11"/>
        <v>5.2083333333333333E-4</v>
      </c>
      <c r="J28">
        <f t="shared" si="12"/>
        <v>2.6351686507936509E-5</v>
      </c>
      <c r="K28">
        <f t="shared" si="13"/>
        <v>3.3370191247795415E-7</v>
      </c>
    </row>
    <row r="29" spans="2:12" x14ac:dyDescent="0.25">
      <c r="B29" s="13">
        <v>0.6</v>
      </c>
      <c r="C29">
        <f t="shared" si="3"/>
        <v>0.68413680834169233</v>
      </c>
      <c r="D29" s="5">
        <f t="shared" si="14"/>
        <v>4.6744663655978069E-2</v>
      </c>
      <c r="E29" s="5">
        <f t="shared" si="15"/>
        <v>6.8326485413472207E-2</v>
      </c>
      <c r="F29">
        <f t="shared" si="2"/>
        <v>0.63739214468571426</v>
      </c>
      <c r="G29" s="12">
        <f t="shared" si="9"/>
        <v>0.6</v>
      </c>
      <c r="H29">
        <f t="shared" si="10"/>
        <v>3.5999999999999997E-2</v>
      </c>
      <c r="I29">
        <f t="shared" si="11"/>
        <v>1.2959999999999998E-3</v>
      </c>
      <c r="J29">
        <f t="shared" si="12"/>
        <v>9.4422857142857137E-5</v>
      </c>
      <c r="K29">
        <f t="shared" si="13"/>
        <v>1.7218285714285711E-6</v>
      </c>
    </row>
    <row r="30" spans="2:12" x14ac:dyDescent="0.25">
      <c r="B30" s="13">
        <v>0.7</v>
      </c>
      <c r="C30">
        <f t="shared" si="3"/>
        <v>0.84228838046307941</v>
      </c>
      <c r="D30" s="5">
        <f t="shared" si="14"/>
        <v>8.2035870137809441E-2</v>
      </c>
      <c r="E30" s="5">
        <f t="shared" si="15"/>
        <v>9.7396416762519228E-2</v>
      </c>
      <c r="F30">
        <f t="shared" si="2"/>
        <v>0.76025251032526997</v>
      </c>
      <c r="G30" s="12">
        <f t="shared" si="9"/>
        <v>0.7</v>
      </c>
      <c r="H30">
        <f t="shared" si="10"/>
        <v>5.716666666666665E-2</v>
      </c>
      <c r="I30">
        <f t="shared" si="11"/>
        <v>2.8011666666666658E-3</v>
      </c>
      <c r="J30">
        <f t="shared" si="12"/>
        <v>2.7778236111111098E-4</v>
      </c>
      <c r="K30">
        <f t="shared" si="13"/>
        <v>6.8946308256172798E-6</v>
      </c>
    </row>
    <row r="31" spans="2:12" x14ac:dyDescent="0.25">
      <c r="B31" s="13">
        <v>0.8</v>
      </c>
      <c r="C31">
        <f t="shared" si="3"/>
        <v>1.0296385570503641</v>
      </c>
      <c r="D31" s="5">
        <f t="shared" si="14"/>
        <v>0.13811358586447342</v>
      </c>
      <c r="E31" s="5">
        <f t="shared" si="15"/>
        <v>0.13413793113976955</v>
      </c>
      <c r="F31">
        <f t="shared" si="2"/>
        <v>0.89152497118589069</v>
      </c>
      <c r="G31" s="12">
        <f t="shared" si="9"/>
        <v>0.8</v>
      </c>
      <c r="H31">
        <f t="shared" si="10"/>
        <v>8.5333333333333358E-2</v>
      </c>
      <c r="I31">
        <f t="shared" si="11"/>
        <v>5.4613333333333363E-3</v>
      </c>
      <c r="J31">
        <f t="shared" si="12"/>
        <v>7.0737269841269893E-4</v>
      </c>
      <c r="K31">
        <f t="shared" si="13"/>
        <v>2.2931820811287497E-5</v>
      </c>
    </row>
    <row r="32" spans="2:12" x14ac:dyDescent="0.25">
      <c r="B32">
        <v>0.9</v>
      </c>
      <c r="C32">
        <f t="shared" si="3"/>
        <v>1.2601582175503392</v>
      </c>
      <c r="D32" s="5">
        <f t="shared" si="14"/>
        <v>0.22713722164007111</v>
      </c>
      <c r="E32" s="5">
        <f t="shared" si="15"/>
        <v>0.18024500295019322</v>
      </c>
      <c r="F32">
        <f t="shared" si="2"/>
        <v>1.0330209959102681</v>
      </c>
      <c r="G32" s="12">
        <f t="shared" si="9"/>
        <v>0.9</v>
      </c>
      <c r="H32">
        <f t="shared" si="10"/>
        <v>0.12150000000000001</v>
      </c>
      <c r="I32">
        <f t="shared" si="11"/>
        <v>9.841500000000003E-3</v>
      </c>
      <c r="J32">
        <f t="shared" si="12"/>
        <v>1.6133030357142861E-3</v>
      </c>
      <c r="K32">
        <f t="shared" si="13"/>
        <v>6.6192874553571454E-5</v>
      </c>
    </row>
    <row r="33" spans="2:11" x14ac:dyDescent="0.25">
      <c r="B33">
        <v>1</v>
      </c>
      <c r="C33">
        <f t="shared" si="3"/>
        <v>1.5574077246549023</v>
      </c>
      <c r="D33" s="5">
        <f t="shared" si="14"/>
        <v>0.37053052006936427</v>
      </c>
      <c r="E33" s="6">
        <f t="shared" si="15"/>
        <v>0.23791491091484612</v>
      </c>
      <c r="F33">
        <f t="shared" si="2"/>
        <v>1.186877204585538</v>
      </c>
      <c r="G33" s="12">
        <f t="shared" si="9"/>
        <v>1</v>
      </c>
      <c r="H33">
        <f t="shared" si="10"/>
        <v>0.16666666666666666</v>
      </c>
      <c r="I33">
        <f t="shared" si="11"/>
        <v>1.6666666666666666E-2</v>
      </c>
      <c r="J33">
        <f t="shared" si="12"/>
        <v>3.3730158730158732E-3</v>
      </c>
      <c r="K33">
        <f t="shared" si="13"/>
        <v>1.7085537918871252E-4</v>
      </c>
    </row>
    <row r="34" spans="2:11" x14ac:dyDescent="0.25">
      <c r="B34">
        <v>1.1000000000000001</v>
      </c>
      <c r="C34">
        <f t="shared" si="3"/>
        <v>1.9647596572486523</v>
      </c>
      <c r="D34" s="5">
        <f t="shared" si="14"/>
        <v>0.60910856882481523</v>
      </c>
      <c r="E34" s="6">
        <f t="shared" si="15"/>
        <v>0.31001683415964443</v>
      </c>
      <c r="F34">
        <f t="shared" si="2"/>
        <v>1.3556510884238371</v>
      </c>
      <c r="G34" s="12">
        <f t="shared" si="9"/>
        <v>1.1000000000000001</v>
      </c>
      <c r="H34">
        <f t="shared" si="10"/>
        <v>0.22183333333333341</v>
      </c>
      <c r="I34">
        <f t="shared" si="11"/>
        <v>2.6841833333333343E-2</v>
      </c>
      <c r="J34">
        <f t="shared" si="12"/>
        <v>6.5730537103174643E-3</v>
      </c>
      <c r="K34">
        <f t="shared" si="13"/>
        <v>4.0286804685295437E-4</v>
      </c>
    </row>
    <row r="35" spans="2:11" x14ac:dyDescent="0.25">
      <c r="B35">
        <v>1.2</v>
      </c>
      <c r="C35">
        <f t="shared" si="3"/>
        <v>2.5721516221263188</v>
      </c>
      <c r="D35" s="5">
        <f t="shared" si="14"/>
        <v>1.0297119201834617</v>
      </c>
      <c r="E35" s="6">
        <f t="shared" si="15"/>
        <v>0.40033095690223364</v>
      </c>
      <c r="F35">
        <f t="shared" si="2"/>
        <v>1.5424397019428571</v>
      </c>
      <c r="G35" s="12">
        <f t="shared" si="9"/>
        <v>1.2</v>
      </c>
      <c r="H35">
        <f t="shared" si="10"/>
        <v>0.28799999999999998</v>
      </c>
      <c r="I35">
        <f t="shared" si="11"/>
        <v>4.1471999999999995E-2</v>
      </c>
      <c r="J35">
        <f t="shared" si="12"/>
        <v>1.2086125714285714E-2</v>
      </c>
      <c r="K35">
        <f t="shared" si="13"/>
        <v>8.815762285714284E-4</v>
      </c>
    </row>
    <row r="36" spans="2:11" x14ac:dyDescent="0.25">
      <c r="B36">
        <v>1.3</v>
      </c>
      <c r="C36">
        <f t="shared" si="3"/>
        <v>3.6021024479679786</v>
      </c>
      <c r="D36" s="5">
        <f t="shared" si="14"/>
        <v>1.8510766044882441</v>
      </c>
      <c r="E36" s="6">
        <f t="shared" si="15"/>
        <v>0.51388782835215452</v>
      </c>
      <c r="F36">
        <f t="shared" si="2"/>
        <v>1.7510258434797346</v>
      </c>
      <c r="G36" s="12">
        <f t="shared" si="9"/>
        <v>1.3</v>
      </c>
      <c r="H36">
        <f t="shared" si="10"/>
        <v>0.36616666666666675</v>
      </c>
      <c r="I36">
        <f t="shared" si="11"/>
        <v>6.1882166666666683E-2</v>
      </c>
      <c r="J36">
        <f t="shared" si="12"/>
        <v>2.1165174384920642E-2</v>
      </c>
      <c r="K36">
        <f t="shared" si="13"/>
        <v>1.8118357614803798E-3</v>
      </c>
    </row>
    <row r="37" spans="2:11" x14ac:dyDescent="0.25">
      <c r="B37">
        <v>1.4</v>
      </c>
      <c r="C37">
        <f t="shared" si="3"/>
        <v>5.7978837154828868</v>
      </c>
      <c r="D37" s="5">
        <f t="shared" si="14"/>
        <v>3.8118268556112822</v>
      </c>
      <c r="E37" s="6">
        <f t="shared" si="15"/>
        <v>0.65745141549355957</v>
      </c>
      <c r="F37">
        <f t="shared" si="2"/>
        <v>1.9860568598716046</v>
      </c>
      <c r="G37" s="12">
        <f t="shared" si="9"/>
        <v>1.4</v>
      </c>
      <c r="H37">
        <f t="shared" si="10"/>
        <v>0.4573333333333332</v>
      </c>
      <c r="I37">
        <f t="shared" si="11"/>
        <v>8.9637333333333305E-2</v>
      </c>
      <c r="J37">
        <f t="shared" si="12"/>
        <v>3.5556142222222205E-2</v>
      </c>
      <c r="K37">
        <f t="shared" si="13"/>
        <v>3.5300509827160473E-3</v>
      </c>
    </row>
    <row r="38" spans="2:11" x14ac:dyDescent="0.25">
      <c r="B38">
        <v>1.5</v>
      </c>
      <c r="C38">
        <f t="shared" si="3"/>
        <v>14.101419947171719</v>
      </c>
      <c r="D38" s="5">
        <f t="shared" si="14"/>
        <v>11.848158054035558</v>
      </c>
      <c r="E38" s="6">
        <f t="shared" si="15"/>
        <v>0.84021028367514927</v>
      </c>
      <c r="F38">
        <f t="shared" si="2"/>
        <v>2.2532618931361603</v>
      </c>
      <c r="G38" s="12">
        <f t="shared" si="9"/>
        <v>1.5</v>
      </c>
      <c r="H38">
        <f t="shared" si="10"/>
        <v>0.5625</v>
      </c>
      <c r="I38">
        <f t="shared" si="11"/>
        <v>0.12656249999999999</v>
      </c>
      <c r="J38">
        <f t="shared" si="12"/>
        <v>5.7631138392857141E-2</v>
      </c>
      <c r="K38">
        <f t="shared" si="13"/>
        <v>6.5682547433035714E-3</v>
      </c>
    </row>
    <row r="39" spans="2:11" x14ac:dyDescent="0.25">
      <c r="B39">
        <v>1.6</v>
      </c>
      <c r="C39">
        <f t="shared" si="3"/>
        <v>-34.232532735557314</v>
      </c>
      <c r="D39" s="5">
        <f t="shared" si="14"/>
        <v>-36.792246866542854</v>
      </c>
      <c r="E39" s="6">
        <f t="shared" si="15"/>
        <v>1.0747743133924406</v>
      </c>
      <c r="F39">
        <f t="shared" si="2"/>
        <v>2.5597141309855385</v>
      </c>
      <c r="G39" s="12">
        <f t="shared" si="9"/>
        <v>1.6</v>
      </c>
      <c r="H39">
        <f t="shared" si="10"/>
        <v>0.68266666666666687</v>
      </c>
      <c r="I39">
        <f t="shared" si="11"/>
        <v>0.17476266666666676</v>
      </c>
      <c r="J39">
        <f t="shared" si="12"/>
        <v>9.0543705396825463E-2</v>
      </c>
      <c r="K39">
        <f t="shared" si="13"/>
        <v>1.1741092255379199E-2</v>
      </c>
    </row>
    <row r="40" spans="2:11" x14ac:dyDescent="0.25">
      <c r="B40">
        <v>1.7</v>
      </c>
      <c r="C40">
        <f t="shared" si="3"/>
        <v>-7.6966021394591611</v>
      </c>
      <c r="D40" s="5">
        <f t="shared" si="14"/>
        <v>-10.610747568466033</v>
      </c>
      <c r="E40" s="6">
        <f t="shared" si="15"/>
        <v>1.3786275263036591</v>
      </c>
      <c r="F40">
        <f t="shared" si="2"/>
        <v>2.9141454290068727</v>
      </c>
      <c r="G40" s="12">
        <f t="shared" si="9"/>
        <v>1.7</v>
      </c>
      <c r="H40">
        <f t="shared" si="10"/>
        <v>0.81883333333333319</v>
      </c>
      <c r="I40">
        <f t="shared" si="11"/>
        <v>0.23664283333333327</v>
      </c>
      <c r="J40">
        <f t="shared" si="12"/>
        <v>0.13840788573412693</v>
      </c>
      <c r="K40">
        <f t="shared" si="13"/>
        <v>2.0261376606079136E-2</v>
      </c>
    </row>
    <row r="41" spans="2:11" x14ac:dyDescent="0.25">
      <c r="B41">
        <v>1.8</v>
      </c>
      <c r="C41">
        <f t="shared" si="3"/>
        <v>-4.2862616746280624</v>
      </c>
      <c r="D41" s="5">
        <f t="shared" si="14"/>
        <v>-7.6135832149709195</v>
      </c>
      <c r="E41" s="6">
        <f t="shared" si="15"/>
        <v>1.7762758769578815</v>
      </c>
      <c r="F41">
        <f t="shared" si="2"/>
        <v>3.3273215403428575</v>
      </c>
      <c r="G41" s="12">
        <f t="shared" si="9"/>
        <v>1.8</v>
      </c>
      <c r="H41">
        <f t="shared" si="10"/>
        <v>0.97200000000000009</v>
      </c>
      <c r="I41">
        <f t="shared" si="11"/>
        <v>0.3149280000000001</v>
      </c>
      <c r="J41">
        <f t="shared" si="12"/>
        <v>0.20650278857142862</v>
      </c>
      <c r="K41">
        <f t="shared" si="13"/>
        <v>3.3890751771428584E-2</v>
      </c>
    </row>
    <row r="42" spans="2:11" x14ac:dyDescent="0.25">
      <c r="B42">
        <v>1.9</v>
      </c>
      <c r="C42">
        <f t="shared" si="3"/>
        <v>-2.9270975146777736</v>
      </c>
      <c r="D42" s="5">
        <f t="shared" si="14"/>
        <v>-6.7395846333833997</v>
      </c>
      <c r="E42" s="6">
        <f t="shared" si="15"/>
        <v>2.3024803921250023</v>
      </c>
      <c r="F42">
        <f t="shared" si="2"/>
        <v>3.8124871187056266</v>
      </c>
      <c r="G42" s="12">
        <f t="shared" si="9"/>
        <v>1.9</v>
      </c>
      <c r="H42">
        <f t="shared" si="10"/>
        <v>1.1431666666666664</v>
      </c>
      <c r="I42">
        <f t="shared" si="11"/>
        <v>0.41268316666666666</v>
      </c>
      <c r="J42">
        <f t="shared" si="12"/>
        <v>0.30150435640873013</v>
      </c>
      <c r="K42">
        <f t="shared" si="13"/>
        <v>5.5132928963563706E-2</v>
      </c>
    </row>
    <row r="43" spans="2:11" x14ac:dyDescent="0.25">
      <c r="B43">
        <v>2</v>
      </c>
      <c r="C43">
        <f t="shared" si="3"/>
        <v>-2.1850398632615189</v>
      </c>
      <c r="D43" s="5">
        <f t="shared" si="14"/>
        <v>-6.570930515818838</v>
      </c>
      <c r="E43" s="6">
        <f t="shared" si="15"/>
        <v>3.0072359897410208</v>
      </c>
      <c r="F43">
        <f t="shared" si="2"/>
        <v>4.3858906525573191</v>
      </c>
      <c r="G43" s="12">
        <f t="shared" si="9"/>
        <v>2</v>
      </c>
      <c r="H43">
        <f t="shared" si="10"/>
        <v>1.3333333333333333</v>
      </c>
      <c r="I43">
        <f t="shared" si="11"/>
        <v>0.53333333333333333</v>
      </c>
      <c r="J43">
        <f t="shared" si="12"/>
        <v>0.43174603174603177</v>
      </c>
      <c r="K43">
        <f t="shared" si="13"/>
        <v>8.7477954144620812E-2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sin(x)</vt:lpstr>
      <vt:lpstr>cos(x)</vt:lpstr>
      <vt:lpstr>tan(x)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2025-12-31T06:01:46Z</dcterms:modified>
</cp:coreProperties>
</file>