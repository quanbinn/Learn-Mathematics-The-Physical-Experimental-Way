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754AC71D-977A-4AB6-95C3-B948A919E2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rctan(x)" sheetId="3" r:id="rId1"/>
    <sheet name="Sheet1" sheetId="10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3" l="1"/>
  <c r="F35" i="3" s="1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G36" i="3"/>
  <c r="F36" i="3" s="1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G37" i="3"/>
  <c r="F37" i="3" s="1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G38" i="3"/>
  <c r="F38" i="3" s="1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G39" i="3"/>
  <c r="F39" i="3" s="1"/>
  <c r="D39" i="3" s="1"/>
  <c r="E39" i="3" s="1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G40" i="3"/>
  <c r="F40" i="3" s="1"/>
  <c r="D40" i="3" s="1"/>
  <c r="E40" i="3" s="1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G41" i="3"/>
  <c r="F41" i="3" s="1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G42" i="3"/>
  <c r="F42" i="3" s="1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G43" i="3"/>
  <c r="F43" i="3" s="1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C35" i="3"/>
  <c r="C36" i="3"/>
  <c r="C37" i="3"/>
  <c r="C38" i="3"/>
  <c r="C39" i="3"/>
  <c r="C40" i="3"/>
  <c r="C41" i="3"/>
  <c r="D41" i="3" s="1"/>
  <c r="E41" i="3" s="1"/>
  <c r="C42" i="3"/>
  <c r="C43" i="3"/>
  <c r="D43" i="3" s="1"/>
  <c r="E43" i="3" s="1"/>
  <c r="F4" i="3"/>
  <c r="G3" i="3"/>
  <c r="H3" i="3"/>
  <c r="I3" i="3"/>
  <c r="J3" i="3"/>
  <c r="K3" i="3"/>
  <c r="L3" i="3"/>
  <c r="M3" i="3"/>
  <c r="N3" i="3"/>
  <c r="O3" i="3"/>
  <c r="P3" i="3"/>
  <c r="F3" i="3" s="1"/>
  <c r="Q3" i="3"/>
  <c r="R3" i="3"/>
  <c r="S3" i="3"/>
  <c r="T3" i="3"/>
  <c r="U3" i="3"/>
  <c r="V3" i="3"/>
  <c r="W3" i="3"/>
  <c r="X3" i="3"/>
  <c r="Y3" i="3"/>
  <c r="Z3" i="3"/>
  <c r="AA3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G5" i="3"/>
  <c r="F5" i="3" s="1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G6" i="3"/>
  <c r="F6" i="3" s="1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G7" i="3"/>
  <c r="F7" i="3" s="1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G8" i="3"/>
  <c r="F8" i="3" s="1"/>
  <c r="D8" i="3" s="1"/>
  <c r="E8" i="3" s="1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G9" i="3"/>
  <c r="F9" i="3" s="1"/>
  <c r="D9" i="3" s="1"/>
  <c r="E9" i="3" s="1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G10" i="3"/>
  <c r="F10" i="3" s="1"/>
  <c r="D10" i="3" s="1"/>
  <c r="E10" i="3" s="1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G11" i="3"/>
  <c r="F11" i="3" s="1"/>
  <c r="D11" i="3" s="1"/>
  <c r="E11" i="3" s="1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G12" i="3"/>
  <c r="F12" i="3" s="1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G13" i="3"/>
  <c r="F13" i="3" s="1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G14" i="3"/>
  <c r="F14" i="3" s="1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G15" i="3"/>
  <c r="F15" i="3" s="1"/>
  <c r="D15" i="3" s="1"/>
  <c r="E15" i="3" s="1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G16" i="3"/>
  <c r="F16" i="3" s="1"/>
  <c r="D16" i="3" s="1"/>
  <c r="E16" i="3" s="1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G17" i="3"/>
  <c r="H17" i="3"/>
  <c r="I17" i="3"/>
  <c r="J17" i="3"/>
  <c r="K17" i="3"/>
  <c r="L17" i="3"/>
  <c r="M17" i="3"/>
  <c r="N17" i="3"/>
  <c r="O17" i="3"/>
  <c r="F17" i="3" s="1"/>
  <c r="D17" i="3" s="1"/>
  <c r="E17" i="3" s="1"/>
  <c r="P17" i="3"/>
  <c r="Q17" i="3"/>
  <c r="R17" i="3"/>
  <c r="S17" i="3"/>
  <c r="T17" i="3"/>
  <c r="U17" i="3"/>
  <c r="V17" i="3"/>
  <c r="W17" i="3"/>
  <c r="X17" i="3"/>
  <c r="Y17" i="3"/>
  <c r="Z17" i="3"/>
  <c r="AA17" i="3"/>
  <c r="G18" i="3"/>
  <c r="F18" i="3" s="1"/>
  <c r="D18" i="3" s="1"/>
  <c r="E18" i="3" s="1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G19" i="3"/>
  <c r="F19" i="3" s="1"/>
  <c r="D19" i="3" s="1"/>
  <c r="E19" i="3" s="1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G20" i="3"/>
  <c r="F20" i="3" s="1"/>
  <c r="D20" i="3" s="1"/>
  <c r="E20" i="3" s="1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G21" i="3"/>
  <c r="H21" i="3"/>
  <c r="I21" i="3"/>
  <c r="J21" i="3"/>
  <c r="K21" i="3"/>
  <c r="L21" i="3"/>
  <c r="M21" i="3"/>
  <c r="N21" i="3"/>
  <c r="O21" i="3"/>
  <c r="F21" i="3" s="1"/>
  <c r="D21" i="3" s="1"/>
  <c r="E21" i="3" s="1"/>
  <c r="P21" i="3"/>
  <c r="Q21" i="3"/>
  <c r="R21" i="3"/>
  <c r="S21" i="3"/>
  <c r="T21" i="3"/>
  <c r="U21" i="3"/>
  <c r="V21" i="3"/>
  <c r="W21" i="3"/>
  <c r="X21" i="3"/>
  <c r="Y21" i="3"/>
  <c r="Z21" i="3"/>
  <c r="AA21" i="3"/>
  <c r="G22" i="3"/>
  <c r="F22" i="3" s="1"/>
  <c r="D22" i="3" s="1"/>
  <c r="E22" i="3" s="1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C3" i="3"/>
  <c r="D3" i="3" s="1"/>
  <c r="E3" i="3" s="1"/>
  <c r="C4" i="3"/>
  <c r="D4" i="3" s="1"/>
  <c r="E4" i="3" s="1"/>
  <c r="C5" i="3"/>
  <c r="D5" i="3" s="1"/>
  <c r="E5" i="3" s="1"/>
  <c r="C6" i="3"/>
  <c r="C7" i="3"/>
  <c r="C8" i="3"/>
  <c r="C9" i="3"/>
  <c r="C10" i="3"/>
  <c r="C11" i="3"/>
  <c r="C12" i="3"/>
  <c r="D12" i="3" s="1"/>
  <c r="E12" i="3" s="1"/>
  <c r="C13" i="3"/>
  <c r="D13" i="3" s="1"/>
  <c r="E13" i="3" s="1"/>
  <c r="C14" i="3"/>
  <c r="C15" i="3"/>
  <c r="C16" i="3"/>
  <c r="C17" i="3"/>
  <c r="C18" i="3"/>
  <c r="C19" i="3"/>
  <c r="C20" i="3"/>
  <c r="C21" i="3"/>
  <c r="C22" i="3"/>
  <c r="W25" i="3"/>
  <c r="X25" i="3"/>
  <c r="Y25" i="3"/>
  <c r="Z25" i="3"/>
  <c r="AA25" i="3"/>
  <c r="W26" i="3"/>
  <c r="X26" i="3"/>
  <c r="Y26" i="3"/>
  <c r="Z26" i="3"/>
  <c r="AA26" i="3"/>
  <c r="W27" i="3"/>
  <c r="X27" i="3"/>
  <c r="Y27" i="3"/>
  <c r="Z27" i="3"/>
  <c r="AA27" i="3"/>
  <c r="W28" i="3"/>
  <c r="X28" i="3"/>
  <c r="Y28" i="3"/>
  <c r="Z28" i="3"/>
  <c r="AA28" i="3"/>
  <c r="W29" i="3"/>
  <c r="X29" i="3"/>
  <c r="Y29" i="3"/>
  <c r="Z29" i="3"/>
  <c r="AA29" i="3"/>
  <c r="W30" i="3"/>
  <c r="X30" i="3"/>
  <c r="Y30" i="3"/>
  <c r="Z30" i="3"/>
  <c r="AA30" i="3"/>
  <c r="W31" i="3"/>
  <c r="X31" i="3"/>
  <c r="Y31" i="3"/>
  <c r="Z31" i="3"/>
  <c r="AA31" i="3"/>
  <c r="W32" i="3"/>
  <c r="X32" i="3"/>
  <c r="Y32" i="3"/>
  <c r="Z32" i="3"/>
  <c r="AA32" i="3"/>
  <c r="W33" i="3"/>
  <c r="X33" i="3"/>
  <c r="Y33" i="3"/>
  <c r="Z33" i="3"/>
  <c r="AA33" i="3"/>
  <c r="W34" i="3"/>
  <c r="X34" i="3"/>
  <c r="Y34" i="3"/>
  <c r="Z34" i="3"/>
  <c r="AA34" i="3"/>
  <c r="N25" i="3"/>
  <c r="N26" i="3"/>
  <c r="N27" i="3"/>
  <c r="N28" i="3"/>
  <c r="N29" i="3"/>
  <c r="N30" i="3"/>
  <c r="N31" i="3"/>
  <c r="N32" i="3"/>
  <c r="N33" i="3"/>
  <c r="N34" i="3"/>
  <c r="K29" i="3"/>
  <c r="J29" i="3"/>
  <c r="I29" i="3"/>
  <c r="H29" i="3"/>
  <c r="H27" i="3"/>
  <c r="G28" i="3"/>
  <c r="G25" i="3"/>
  <c r="C27" i="3"/>
  <c r="R25" i="3"/>
  <c r="S25" i="3"/>
  <c r="T25" i="3"/>
  <c r="U25" i="3"/>
  <c r="V25" i="3"/>
  <c r="R26" i="3"/>
  <c r="S26" i="3"/>
  <c r="T26" i="3"/>
  <c r="U26" i="3"/>
  <c r="V26" i="3"/>
  <c r="R27" i="3"/>
  <c r="S27" i="3"/>
  <c r="T27" i="3"/>
  <c r="U27" i="3"/>
  <c r="V27" i="3"/>
  <c r="R28" i="3"/>
  <c r="S28" i="3"/>
  <c r="T28" i="3"/>
  <c r="U28" i="3"/>
  <c r="V28" i="3"/>
  <c r="R29" i="3"/>
  <c r="S29" i="3"/>
  <c r="T29" i="3"/>
  <c r="U29" i="3"/>
  <c r="V29" i="3"/>
  <c r="R30" i="3"/>
  <c r="S30" i="3"/>
  <c r="T30" i="3"/>
  <c r="U30" i="3"/>
  <c r="V30" i="3"/>
  <c r="R31" i="3"/>
  <c r="S31" i="3"/>
  <c r="T31" i="3"/>
  <c r="U31" i="3"/>
  <c r="V31" i="3"/>
  <c r="R32" i="3"/>
  <c r="S32" i="3"/>
  <c r="T32" i="3"/>
  <c r="U32" i="3"/>
  <c r="V32" i="3"/>
  <c r="R33" i="3"/>
  <c r="S33" i="3"/>
  <c r="T33" i="3"/>
  <c r="U33" i="3"/>
  <c r="V33" i="3"/>
  <c r="R34" i="3"/>
  <c r="S34" i="3"/>
  <c r="T34" i="3"/>
  <c r="U34" i="3"/>
  <c r="V34" i="3"/>
  <c r="O25" i="3"/>
  <c r="P25" i="3"/>
  <c r="Q25" i="3"/>
  <c r="O26" i="3"/>
  <c r="P26" i="3"/>
  <c r="Q26" i="3"/>
  <c r="O27" i="3"/>
  <c r="P27" i="3"/>
  <c r="Q27" i="3"/>
  <c r="O28" i="3"/>
  <c r="P28" i="3"/>
  <c r="Q28" i="3"/>
  <c r="O29" i="3"/>
  <c r="P29" i="3"/>
  <c r="Q29" i="3"/>
  <c r="O30" i="3"/>
  <c r="P30" i="3"/>
  <c r="Q30" i="3"/>
  <c r="O31" i="3"/>
  <c r="P31" i="3"/>
  <c r="Q31" i="3"/>
  <c r="O32" i="3"/>
  <c r="P32" i="3"/>
  <c r="Q32" i="3"/>
  <c r="O33" i="3"/>
  <c r="P33" i="3"/>
  <c r="Q33" i="3"/>
  <c r="O34" i="3"/>
  <c r="P34" i="3"/>
  <c r="Q34" i="3"/>
  <c r="L25" i="3"/>
  <c r="M25" i="3"/>
  <c r="L26" i="3"/>
  <c r="M26" i="3"/>
  <c r="L27" i="3"/>
  <c r="M27" i="3"/>
  <c r="L28" i="3"/>
  <c r="M28" i="3"/>
  <c r="L29" i="3"/>
  <c r="M29" i="3"/>
  <c r="L30" i="3"/>
  <c r="M30" i="3"/>
  <c r="L31" i="3"/>
  <c r="M31" i="3"/>
  <c r="L32" i="3"/>
  <c r="M32" i="3"/>
  <c r="L33" i="3"/>
  <c r="M33" i="3"/>
  <c r="L34" i="3"/>
  <c r="M34" i="3"/>
  <c r="K25" i="3"/>
  <c r="K26" i="3"/>
  <c r="K27" i="3"/>
  <c r="K28" i="3"/>
  <c r="K30" i="3"/>
  <c r="K31" i="3"/>
  <c r="K32" i="3"/>
  <c r="K33" i="3"/>
  <c r="K34" i="3"/>
  <c r="J25" i="3"/>
  <c r="J26" i="3"/>
  <c r="J27" i="3"/>
  <c r="J28" i="3"/>
  <c r="J30" i="3"/>
  <c r="J31" i="3"/>
  <c r="J32" i="3"/>
  <c r="J33" i="3"/>
  <c r="J34" i="3"/>
  <c r="I25" i="3"/>
  <c r="I26" i="3"/>
  <c r="I27" i="3"/>
  <c r="I28" i="3"/>
  <c r="I30" i="3"/>
  <c r="I31" i="3"/>
  <c r="I32" i="3"/>
  <c r="I33" i="3"/>
  <c r="I34" i="3"/>
  <c r="H25" i="3"/>
  <c r="H26" i="3"/>
  <c r="H28" i="3"/>
  <c r="H30" i="3"/>
  <c r="H31" i="3"/>
  <c r="H32" i="3"/>
  <c r="H33" i="3"/>
  <c r="H34" i="3"/>
  <c r="G26" i="3"/>
  <c r="G27" i="3"/>
  <c r="G29" i="3"/>
  <c r="G30" i="3"/>
  <c r="G31" i="3"/>
  <c r="G32" i="3"/>
  <c r="G33" i="3"/>
  <c r="G34" i="3"/>
  <c r="C24" i="3"/>
  <c r="C25" i="3"/>
  <c r="C26" i="3"/>
  <c r="C28" i="3"/>
  <c r="C29" i="3"/>
  <c r="C30" i="3"/>
  <c r="C31" i="3"/>
  <c r="C32" i="3"/>
  <c r="C33" i="3"/>
  <c r="C34" i="3"/>
  <c r="C23" i="3"/>
  <c r="D14" i="3" l="1"/>
  <c r="E14" i="3" s="1"/>
  <c r="D7" i="3"/>
  <c r="E7" i="3" s="1"/>
  <c r="D42" i="3"/>
  <c r="E42" i="3" s="1"/>
  <c r="D6" i="3"/>
  <c r="E6" i="3" s="1"/>
  <c r="F28" i="3"/>
  <c r="F32" i="3"/>
  <c r="F31" i="3"/>
  <c r="F30" i="3"/>
  <c r="F25" i="3"/>
  <c r="D25" i="3" s="1"/>
  <c r="E25" i="3" s="1"/>
  <c r="F27" i="3"/>
  <c r="D27" i="3" s="1"/>
  <c r="E27" i="3" s="1"/>
  <c r="F23" i="3"/>
  <c r="D23" i="3" s="1"/>
  <c r="E23" i="3" s="1"/>
  <c r="F26" i="3"/>
  <c r="D26" i="3" s="1"/>
  <c r="E26" i="3" s="1"/>
  <c r="F24" i="3"/>
  <c r="D24" i="3" s="1"/>
  <c r="E24" i="3" s="1"/>
  <c r="D35" i="3"/>
  <c r="E35" i="3" s="1"/>
  <c r="D28" i="3"/>
  <c r="E28" i="3" s="1"/>
  <c r="F29" i="3"/>
  <c r="D29" i="3" s="1"/>
  <c r="E29" i="3" s="1"/>
  <c r="D32" i="3"/>
  <c r="E32" i="3" s="1"/>
  <c r="D31" i="3"/>
  <c r="E31" i="3" s="1"/>
  <c r="F33" i="3"/>
  <c r="D33" i="3" s="1"/>
  <c r="E33" i="3" s="1"/>
  <c r="F34" i="3"/>
  <c r="D34" i="3" s="1"/>
  <c r="E34" i="3" s="1"/>
  <c r="D30" i="3"/>
  <c r="E30" i="3" s="1"/>
  <c r="D38" i="3"/>
  <c r="E38" i="3" s="1"/>
  <c r="D37" i="3"/>
  <c r="E37" i="3" s="1"/>
  <c r="D36" i="3"/>
  <c r="E36" i="3" s="1"/>
</calcChain>
</file>

<file path=xl/sharedStrings.xml><?xml version="1.0" encoding="utf-8"?>
<sst xmlns="http://schemas.openxmlformats.org/spreadsheetml/2006/main" count="26" uniqueCount="26">
  <si>
    <t>x</t>
    <phoneticPr fontId="1" type="noConversion"/>
  </si>
  <si>
    <t>x^0</t>
    <phoneticPr fontId="1" type="noConversion"/>
  </si>
  <si>
    <t>x^1</t>
    <phoneticPr fontId="1" type="noConversion"/>
  </si>
  <si>
    <t>x^3</t>
  </si>
  <si>
    <t>x^4</t>
  </si>
  <si>
    <t>x^5</t>
  </si>
  <si>
    <t>x^6</t>
  </si>
  <si>
    <t>x^7</t>
  </si>
  <si>
    <t>x^8</t>
  </si>
  <si>
    <t>x^9</t>
  </si>
  <si>
    <t>x^10</t>
  </si>
  <si>
    <t>x^11</t>
  </si>
  <si>
    <t>x^12</t>
  </si>
  <si>
    <t>x^13</t>
  </si>
  <si>
    <t>x^14</t>
  </si>
  <si>
    <t>x^15</t>
  </si>
  <si>
    <t>1/(1-x)</t>
    <phoneticPr fontId="1" type="noConversion"/>
  </si>
  <si>
    <t>Sum</t>
    <phoneticPr fontId="1" type="noConversion"/>
  </si>
  <si>
    <t>Difference</t>
    <phoneticPr fontId="1" type="noConversion"/>
  </si>
  <si>
    <t>x^16</t>
  </si>
  <si>
    <t>x^17</t>
  </si>
  <si>
    <t>x^18</t>
  </si>
  <si>
    <t>x^19</t>
  </si>
  <si>
    <t>x^20</t>
  </si>
  <si>
    <t>Ratio</t>
    <phoneticPr fontId="1" type="noConversion"/>
  </si>
  <si>
    <t>x²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</si>
</sst>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/>
    <xf numFmtId="176" fontId="3" fillId="0" borderId="1" xfId="0" applyNumberFormat="1" applyFont="1" applyBorder="1"/>
    <xf numFmtId="176" fontId="2" fillId="0" borderId="2" xfId="0" applyNumberFormat="1" applyFont="1" applyBorder="1"/>
    <xf numFmtId="176" fontId="3" fillId="0" borderId="2" xfId="0" applyNumberFormat="1" applyFont="1" applyBorder="1"/>
    <xf numFmtId="176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B43"/>
  <sheetViews>
    <sheetView tabSelected="1" zoomScale="115" zoomScaleNormal="115" workbookViewId="0">
      <selection activeCell="E20" sqref="E20"/>
    </sheetView>
  </sheetViews>
  <sheetFormatPr defaultColWidth="8.81640625" defaultRowHeight="14" x14ac:dyDescent="0.25"/>
  <cols>
    <col min="1" max="1" width="2.36328125" customWidth="1"/>
    <col min="2" max="2" width="4.90625" customWidth="1"/>
    <col min="3" max="3" width="12.453125" customWidth="1"/>
    <col min="4" max="4" width="15.1796875" customWidth="1"/>
    <col min="5" max="5" width="15.7265625" customWidth="1"/>
    <col min="6" max="6" width="13.6328125" customWidth="1"/>
    <col min="7" max="19" width="10.6328125" style="1" customWidth="1"/>
    <col min="20" max="22" width="10.6328125" customWidth="1"/>
  </cols>
  <sheetData>
    <row r="2" spans="2:28" s="2" customFormat="1" x14ac:dyDescent="0.25">
      <c r="B2" s="4" t="s">
        <v>0</v>
      </c>
      <c r="C2" s="4" t="s">
        <v>16</v>
      </c>
      <c r="D2" s="4" t="s">
        <v>18</v>
      </c>
      <c r="E2" s="4" t="s">
        <v>24</v>
      </c>
      <c r="F2" s="4" t="s">
        <v>17</v>
      </c>
      <c r="G2" s="9" t="s">
        <v>1</v>
      </c>
      <c r="H2" s="9" t="s">
        <v>2</v>
      </c>
      <c r="I2" s="9" t="s">
        <v>25</v>
      </c>
      <c r="J2" s="9" t="s">
        <v>3</v>
      </c>
      <c r="K2" s="9" t="s">
        <v>4</v>
      </c>
      <c r="L2" s="9" t="s">
        <v>5</v>
      </c>
      <c r="M2" s="9" t="s">
        <v>6</v>
      </c>
      <c r="N2" s="9" t="s">
        <v>7</v>
      </c>
      <c r="O2" s="9" t="s">
        <v>8</v>
      </c>
      <c r="P2" s="9" t="s">
        <v>9</v>
      </c>
      <c r="Q2" s="9" t="s">
        <v>10</v>
      </c>
      <c r="R2" s="9" t="s">
        <v>11</v>
      </c>
      <c r="S2" s="9" t="s">
        <v>12</v>
      </c>
      <c r="T2" s="9" t="s">
        <v>13</v>
      </c>
      <c r="U2" s="9" t="s">
        <v>14</v>
      </c>
      <c r="V2" s="9" t="s">
        <v>15</v>
      </c>
      <c r="W2" s="9" t="s">
        <v>19</v>
      </c>
      <c r="X2" s="9" t="s">
        <v>20</v>
      </c>
      <c r="Y2" s="9" t="s">
        <v>21</v>
      </c>
      <c r="Z2" s="9" t="s">
        <v>22</v>
      </c>
      <c r="AA2" s="9" t="s">
        <v>23</v>
      </c>
      <c r="AB2" s="3"/>
    </row>
    <row r="3" spans="2:28" x14ac:dyDescent="0.25">
      <c r="B3">
        <v>-2</v>
      </c>
      <c r="C3">
        <f t="shared" ref="C3:C22" si="0">1/(1-B3)</f>
        <v>0.33333333333333331</v>
      </c>
      <c r="D3" s="7">
        <f t="shared" ref="D3:D22" si="1">C3-F3</f>
        <v>-699050.66666666663</v>
      </c>
      <c r="E3" s="8">
        <f t="shared" ref="E3:E22" si="2">D3/C3</f>
        <v>-2097152</v>
      </c>
      <c r="F3" s="1">
        <f t="shared" ref="F3:F22" si="3">SUM(G3:AA3)</f>
        <v>699051</v>
      </c>
      <c r="G3" s="1">
        <f t="shared" ref="G3:G21" si="4">B3^0</f>
        <v>1</v>
      </c>
      <c r="H3" s="1">
        <f t="shared" ref="H3:H21" si="5">B3^1</f>
        <v>-2</v>
      </c>
      <c r="I3" s="1">
        <f t="shared" ref="I3:I21" si="6">B3^2</f>
        <v>4</v>
      </c>
      <c r="J3" s="1">
        <f t="shared" ref="J3:J21" si="7">B3^3</f>
        <v>-8</v>
      </c>
      <c r="K3" s="1">
        <f t="shared" ref="K3:K21" si="8">B3^4</f>
        <v>16</v>
      </c>
      <c r="L3" s="1">
        <f t="shared" ref="L3:L21" si="9">B3^5</f>
        <v>-32</v>
      </c>
      <c r="M3" s="1">
        <f t="shared" ref="M3:M21" si="10">B3^6</f>
        <v>64</v>
      </c>
      <c r="N3" s="1">
        <f t="shared" ref="N3:N21" si="11">B3^7</f>
        <v>-128</v>
      </c>
      <c r="O3" s="1">
        <f t="shared" ref="O3:O21" si="12">B3^8</f>
        <v>256</v>
      </c>
      <c r="P3" s="1">
        <f t="shared" ref="P3:P21" si="13">B3^9</f>
        <v>-512</v>
      </c>
      <c r="Q3" s="1">
        <f t="shared" ref="Q3:Q21" si="14">B3^10</f>
        <v>1024</v>
      </c>
      <c r="R3" s="1">
        <f t="shared" ref="R3:R21" si="15">B3^11</f>
        <v>-2048</v>
      </c>
      <c r="S3" s="1">
        <f t="shared" ref="S3:S21" si="16">B3^12</f>
        <v>4096</v>
      </c>
      <c r="T3" s="1">
        <f t="shared" ref="T3:T21" si="17">B3^13</f>
        <v>-8192</v>
      </c>
      <c r="U3">
        <f t="shared" ref="U3:U21" si="18">B3^14</f>
        <v>16384</v>
      </c>
      <c r="V3">
        <f t="shared" ref="V3:V21" si="19">B3^15</f>
        <v>-32768</v>
      </c>
      <c r="W3">
        <f t="shared" ref="W3:W21" si="20">B3^16</f>
        <v>65536</v>
      </c>
      <c r="X3">
        <f t="shared" ref="X3:X21" si="21">B3^17</f>
        <v>-131072</v>
      </c>
      <c r="Y3">
        <f t="shared" ref="Y3:Y21" si="22">B3^18</f>
        <v>262144</v>
      </c>
      <c r="Z3">
        <f t="shared" ref="Z3:Z21" si="23">B3^19</f>
        <v>-524288</v>
      </c>
      <c r="AA3">
        <f t="shared" ref="AA3:AA21" si="24">B3^20</f>
        <v>1048576</v>
      </c>
      <c r="AB3" s="1"/>
    </row>
    <row r="4" spans="2:28" x14ac:dyDescent="0.25">
      <c r="B4">
        <v>-1.9</v>
      </c>
      <c r="C4">
        <f t="shared" si="0"/>
        <v>0.34482758620689657</v>
      </c>
      <c r="D4" s="5">
        <f t="shared" si="1"/>
        <v>-246279.13644599071</v>
      </c>
      <c r="E4" s="6">
        <f t="shared" si="2"/>
        <v>-714209.49569337303</v>
      </c>
      <c r="F4" s="1">
        <f t="shared" si="3"/>
        <v>246279.48127357691</v>
      </c>
      <c r="G4" s="1">
        <f t="shared" si="4"/>
        <v>1</v>
      </c>
      <c r="H4" s="1">
        <f t="shared" si="5"/>
        <v>-1.9</v>
      </c>
      <c r="I4" s="1">
        <f t="shared" si="6"/>
        <v>3.61</v>
      </c>
      <c r="J4" s="1">
        <f t="shared" si="7"/>
        <v>-6.8589999999999991</v>
      </c>
      <c r="K4" s="1">
        <f t="shared" si="8"/>
        <v>13.0321</v>
      </c>
      <c r="L4" s="1">
        <f t="shared" si="9"/>
        <v>-24.76099</v>
      </c>
      <c r="M4" s="1">
        <f t="shared" si="10"/>
        <v>47.045880999999994</v>
      </c>
      <c r="N4" s="1">
        <f t="shared" si="11"/>
        <v>-89.387173899999993</v>
      </c>
      <c r="O4" s="1">
        <f t="shared" si="12"/>
        <v>169.83563040999999</v>
      </c>
      <c r="P4" s="1">
        <f t="shared" si="13"/>
        <v>-322.68769777899996</v>
      </c>
      <c r="Q4" s="1">
        <f t="shared" si="14"/>
        <v>613.10662578009999</v>
      </c>
      <c r="R4" s="1">
        <f t="shared" si="15"/>
        <v>-1164.9025889821899</v>
      </c>
      <c r="S4" s="1">
        <f t="shared" si="16"/>
        <v>2213.3149190661607</v>
      </c>
      <c r="T4" s="1">
        <f t="shared" si="17"/>
        <v>-4205.2983462257052</v>
      </c>
      <c r="U4">
        <f t="shared" si="18"/>
        <v>7990.0668578288396</v>
      </c>
      <c r="V4">
        <f t="shared" si="19"/>
        <v>-15181.127029874797</v>
      </c>
      <c r="W4">
        <f t="shared" si="20"/>
        <v>28844.141356762113</v>
      </c>
      <c r="X4">
        <f t="shared" si="21"/>
        <v>-54803.868577848014</v>
      </c>
      <c r="Y4">
        <f t="shared" si="22"/>
        <v>104127.35029791122</v>
      </c>
      <c r="Z4">
        <f t="shared" si="23"/>
        <v>-197841.96556603131</v>
      </c>
      <c r="AA4">
        <f t="shared" si="24"/>
        <v>375899.7345754595</v>
      </c>
      <c r="AB4" s="1"/>
    </row>
    <row r="5" spans="2:28" x14ac:dyDescent="0.25">
      <c r="B5">
        <v>-1.8</v>
      </c>
      <c r="C5">
        <f t="shared" si="0"/>
        <v>0.35714285714285715</v>
      </c>
      <c r="D5" s="5">
        <f t="shared" si="1"/>
        <v>-81952.947105403422</v>
      </c>
      <c r="E5" s="6">
        <f t="shared" si="2"/>
        <v>-229468.25189512956</v>
      </c>
      <c r="F5" s="1">
        <f t="shared" si="3"/>
        <v>81953.304248260567</v>
      </c>
      <c r="G5" s="1">
        <f t="shared" si="4"/>
        <v>1</v>
      </c>
      <c r="H5" s="1">
        <f t="shared" si="5"/>
        <v>-1.8</v>
      </c>
      <c r="I5" s="1">
        <f t="shared" si="6"/>
        <v>3.24</v>
      </c>
      <c r="J5" s="1">
        <f t="shared" si="7"/>
        <v>-5.8320000000000007</v>
      </c>
      <c r="K5" s="1">
        <f t="shared" si="8"/>
        <v>10.497600000000002</v>
      </c>
      <c r="L5" s="1">
        <f t="shared" si="9"/>
        <v>-18.895680000000006</v>
      </c>
      <c r="M5" s="1">
        <f t="shared" si="10"/>
        <v>34.01222400000001</v>
      </c>
      <c r="N5" s="1">
        <f t="shared" si="11"/>
        <v>-61.222003200000017</v>
      </c>
      <c r="O5" s="1">
        <f t="shared" si="12"/>
        <v>110.19960576000004</v>
      </c>
      <c r="P5" s="1">
        <f t="shared" si="13"/>
        <v>-198.35929036800007</v>
      </c>
      <c r="Q5" s="1">
        <f t="shared" si="14"/>
        <v>357.04672266240016</v>
      </c>
      <c r="R5" s="1">
        <f t="shared" si="15"/>
        <v>-642.68410079232035</v>
      </c>
      <c r="S5" s="1">
        <f t="shared" si="16"/>
        <v>1156.8313814261767</v>
      </c>
      <c r="T5" s="1">
        <f t="shared" si="17"/>
        <v>-2082.2964865671183</v>
      </c>
      <c r="U5">
        <f t="shared" si="18"/>
        <v>3748.1336758208126</v>
      </c>
      <c r="V5">
        <f t="shared" si="19"/>
        <v>-6746.6406164774626</v>
      </c>
      <c r="W5">
        <f t="shared" si="20"/>
        <v>12143.953109659435</v>
      </c>
      <c r="X5">
        <f t="shared" si="21"/>
        <v>-21859.115597386983</v>
      </c>
      <c r="Y5">
        <f t="shared" si="22"/>
        <v>39346.408075296567</v>
      </c>
      <c r="Z5">
        <f t="shared" si="23"/>
        <v>-70823.534535533836</v>
      </c>
      <c r="AA5">
        <f t="shared" si="24"/>
        <v>127482.3621639609</v>
      </c>
      <c r="AB5" s="1"/>
    </row>
    <row r="6" spans="2:28" x14ac:dyDescent="0.25">
      <c r="B6">
        <v>-1.7</v>
      </c>
      <c r="C6">
        <f t="shared" si="0"/>
        <v>0.37037037037037035</v>
      </c>
      <c r="D6" s="5">
        <f t="shared" si="1"/>
        <v>-25589.605152966182</v>
      </c>
      <c r="E6" s="6">
        <f t="shared" si="2"/>
        <v>-69091.933913008688</v>
      </c>
      <c r="F6" s="1">
        <f t="shared" si="3"/>
        <v>25589.97552333655</v>
      </c>
      <c r="G6" s="1">
        <f t="shared" si="4"/>
        <v>1</v>
      </c>
      <c r="H6" s="1">
        <f t="shared" si="5"/>
        <v>-1.7</v>
      </c>
      <c r="I6" s="1">
        <f t="shared" si="6"/>
        <v>2.8899999999999997</v>
      </c>
      <c r="J6" s="1">
        <f t="shared" si="7"/>
        <v>-4.9129999999999994</v>
      </c>
      <c r="K6" s="1">
        <f t="shared" si="8"/>
        <v>8.3520999999999983</v>
      </c>
      <c r="L6" s="1">
        <f t="shared" si="9"/>
        <v>-14.198569999999997</v>
      </c>
      <c r="M6" s="1">
        <f t="shared" si="10"/>
        <v>24.137568999999992</v>
      </c>
      <c r="N6" s="1">
        <f t="shared" si="11"/>
        <v>-41.033867299999983</v>
      </c>
      <c r="O6" s="1">
        <f t="shared" si="12"/>
        <v>69.757574409999975</v>
      </c>
      <c r="P6" s="1">
        <f t="shared" si="13"/>
        <v>-118.58787649699995</v>
      </c>
      <c r="Q6" s="1">
        <f t="shared" si="14"/>
        <v>201.59939004489991</v>
      </c>
      <c r="R6" s="1">
        <f t="shared" si="15"/>
        <v>-342.71896307632983</v>
      </c>
      <c r="S6" s="1">
        <f t="shared" si="16"/>
        <v>582.62223722976069</v>
      </c>
      <c r="T6" s="1">
        <f t="shared" si="17"/>
        <v>-990.45780329059312</v>
      </c>
      <c r="U6">
        <f t="shared" si="18"/>
        <v>1683.7782655940082</v>
      </c>
      <c r="V6">
        <f t="shared" si="19"/>
        <v>-2862.4230515098134</v>
      </c>
      <c r="W6">
        <f t="shared" si="20"/>
        <v>4866.1191875666836</v>
      </c>
      <c r="X6">
        <f t="shared" si="21"/>
        <v>-8272.4026188633616</v>
      </c>
      <c r="Y6">
        <f t="shared" si="22"/>
        <v>14063.084452067715</v>
      </c>
      <c r="Z6">
        <f t="shared" si="23"/>
        <v>-23907.243568515114</v>
      </c>
      <c r="AA6">
        <f t="shared" si="24"/>
        <v>40642.314066475694</v>
      </c>
      <c r="AB6" s="1"/>
    </row>
    <row r="7" spans="2:28" x14ac:dyDescent="0.25">
      <c r="B7">
        <v>-1.6</v>
      </c>
      <c r="C7">
        <f t="shared" si="0"/>
        <v>0.38461538461538458</v>
      </c>
      <c r="D7" s="5">
        <f t="shared" si="1"/>
        <v>-7439.543505320813</v>
      </c>
      <c r="E7" s="6">
        <f t="shared" si="2"/>
        <v>-19342.813113834116</v>
      </c>
      <c r="F7" s="1">
        <f t="shared" si="3"/>
        <v>7439.9281207054282</v>
      </c>
      <c r="G7" s="1">
        <f t="shared" si="4"/>
        <v>1</v>
      </c>
      <c r="H7" s="1">
        <f t="shared" si="5"/>
        <v>-1.6</v>
      </c>
      <c r="I7" s="1">
        <f t="shared" si="6"/>
        <v>2.5600000000000005</v>
      </c>
      <c r="J7" s="1">
        <f t="shared" si="7"/>
        <v>-4.096000000000001</v>
      </c>
      <c r="K7" s="1">
        <f t="shared" si="8"/>
        <v>6.553600000000003</v>
      </c>
      <c r="L7" s="1">
        <f t="shared" si="9"/>
        <v>-10.485760000000006</v>
      </c>
      <c r="M7" s="1">
        <f t="shared" si="10"/>
        <v>16.77721600000001</v>
      </c>
      <c r="N7" s="1">
        <f t="shared" si="11"/>
        <v>-26.84354560000002</v>
      </c>
      <c r="O7" s="1">
        <f t="shared" si="12"/>
        <v>42.949672960000036</v>
      </c>
      <c r="P7" s="1">
        <f t="shared" si="13"/>
        <v>-68.719476736000061</v>
      </c>
      <c r="Q7" s="1">
        <f t="shared" si="14"/>
        <v>109.95116277760012</v>
      </c>
      <c r="R7" s="1">
        <f t="shared" si="15"/>
        <v>-175.92186044416019</v>
      </c>
      <c r="S7" s="1">
        <f t="shared" si="16"/>
        <v>281.47497671065639</v>
      </c>
      <c r="T7" s="1">
        <f t="shared" si="17"/>
        <v>-450.35996273705024</v>
      </c>
      <c r="U7">
        <f t="shared" si="18"/>
        <v>720.57594037928038</v>
      </c>
      <c r="V7">
        <f t="shared" si="19"/>
        <v>-1152.9215046068489</v>
      </c>
      <c r="W7">
        <f t="shared" si="20"/>
        <v>1844.6744073709583</v>
      </c>
      <c r="X7">
        <f t="shared" si="21"/>
        <v>-2951.4790517935335</v>
      </c>
      <c r="Y7">
        <f t="shared" si="22"/>
        <v>4722.3664828696537</v>
      </c>
      <c r="Z7">
        <f t="shared" si="23"/>
        <v>-7555.7863725914467</v>
      </c>
      <c r="AA7">
        <f t="shared" si="24"/>
        <v>12089.258196146318</v>
      </c>
      <c r="AB7" s="1"/>
    </row>
    <row r="8" spans="2:28" x14ac:dyDescent="0.25">
      <c r="B8">
        <v>-1.5</v>
      </c>
      <c r="C8">
        <f t="shared" si="0"/>
        <v>0.4</v>
      </c>
      <c r="D8" s="5">
        <f t="shared" si="1"/>
        <v>-1995.1540380477904</v>
      </c>
      <c r="E8" s="6">
        <f t="shared" si="2"/>
        <v>-4987.8850951194754</v>
      </c>
      <c r="F8" s="1">
        <f t="shared" si="3"/>
        <v>1995.5540380477905</v>
      </c>
      <c r="G8" s="1">
        <f t="shared" si="4"/>
        <v>1</v>
      </c>
      <c r="H8" s="1">
        <f t="shared" si="5"/>
        <v>-1.5</v>
      </c>
      <c r="I8" s="1">
        <f t="shared" si="6"/>
        <v>2.25</v>
      </c>
      <c r="J8" s="1">
        <f t="shared" si="7"/>
        <v>-3.375</v>
      </c>
      <c r="K8" s="1">
        <f t="shared" si="8"/>
        <v>5.0625</v>
      </c>
      <c r="L8" s="1">
        <f t="shared" si="9"/>
        <v>-7.59375</v>
      </c>
      <c r="M8" s="1">
        <f t="shared" si="10"/>
        <v>11.390625</v>
      </c>
      <c r="N8" s="1">
        <f t="shared" si="11"/>
        <v>-17.0859375</v>
      </c>
      <c r="O8" s="1">
        <f t="shared" si="12"/>
        <v>25.62890625</v>
      </c>
      <c r="P8" s="1">
        <f t="shared" si="13"/>
        <v>-38.443359375</v>
      </c>
      <c r="Q8" s="1">
        <f t="shared" si="14"/>
        <v>57.6650390625</v>
      </c>
      <c r="R8" s="1">
        <f t="shared" si="15"/>
        <v>-86.49755859375</v>
      </c>
      <c r="S8" s="1">
        <f t="shared" si="16"/>
        <v>129.746337890625</v>
      </c>
      <c r="T8" s="1">
        <f t="shared" si="17"/>
        <v>-194.6195068359375</v>
      </c>
      <c r="U8">
        <f t="shared" si="18"/>
        <v>291.92926025390625</v>
      </c>
      <c r="V8">
        <f t="shared" si="19"/>
        <v>-437.89389038085938</v>
      </c>
      <c r="W8">
        <f t="shared" si="20"/>
        <v>656.84083557128906</v>
      </c>
      <c r="X8">
        <f t="shared" si="21"/>
        <v>-985.26125335693359</v>
      </c>
      <c r="Y8">
        <f t="shared" si="22"/>
        <v>1477.8918800354004</v>
      </c>
      <c r="Z8">
        <f t="shared" si="23"/>
        <v>-2216.8378200531006</v>
      </c>
      <c r="AA8">
        <f t="shared" si="24"/>
        <v>3325.2567300796509</v>
      </c>
      <c r="AB8" s="1"/>
    </row>
    <row r="9" spans="2:28" x14ac:dyDescent="0.25">
      <c r="B9">
        <v>-1.4</v>
      </c>
      <c r="C9">
        <f t="shared" si="0"/>
        <v>0.41666666666666669</v>
      </c>
      <c r="D9" s="5">
        <f t="shared" si="1"/>
        <v>-488.06482331416061</v>
      </c>
      <c r="E9" s="6">
        <f t="shared" si="2"/>
        <v>-1171.3555759539854</v>
      </c>
      <c r="F9" s="1">
        <f t="shared" si="3"/>
        <v>488.48148998082729</v>
      </c>
      <c r="G9" s="1">
        <f t="shared" si="4"/>
        <v>1</v>
      </c>
      <c r="H9" s="1">
        <f t="shared" si="5"/>
        <v>-1.4</v>
      </c>
      <c r="I9" s="1">
        <f t="shared" si="6"/>
        <v>1.9599999999999997</v>
      </c>
      <c r="J9" s="1">
        <f t="shared" si="7"/>
        <v>-2.7439999999999993</v>
      </c>
      <c r="K9" s="1">
        <f t="shared" si="8"/>
        <v>3.8415999999999988</v>
      </c>
      <c r="L9" s="1">
        <f t="shared" si="9"/>
        <v>-5.3782399999999981</v>
      </c>
      <c r="M9" s="1">
        <f t="shared" si="10"/>
        <v>7.5295359999999967</v>
      </c>
      <c r="N9" s="1">
        <f t="shared" si="11"/>
        <v>-10.541350399999994</v>
      </c>
      <c r="O9" s="1">
        <f t="shared" si="12"/>
        <v>14.757890559999991</v>
      </c>
      <c r="P9" s="1">
        <f t="shared" si="13"/>
        <v>-20.661046783999986</v>
      </c>
      <c r="Q9" s="1">
        <f t="shared" si="14"/>
        <v>28.92546549759998</v>
      </c>
      <c r="R9" s="1">
        <f t="shared" si="15"/>
        <v>-40.495651696639968</v>
      </c>
      <c r="S9" s="1">
        <f t="shared" si="16"/>
        <v>56.693912375295945</v>
      </c>
      <c r="T9" s="1">
        <f t="shared" si="17"/>
        <v>-79.371477325414318</v>
      </c>
      <c r="U9">
        <f t="shared" si="18"/>
        <v>111.12006825558004</v>
      </c>
      <c r="V9">
        <f t="shared" si="19"/>
        <v>-155.56809555781203</v>
      </c>
      <c r="W9">
        <f t="shared" si="20"/>
        <v>217.79533378093686</v>
      </c>
      <c r="X9">
        <f t="shared" si="21"/>
        <v>-304.91346729331156</v>
      </c>
      <c r="Y9">
        <f t="shared" si="22"/>
        <v>426.87885421063618</v>
      </c>
      <c r="Z9">
        <f t="shared" si="23"/>
        <v>-597.63039589489063</v>
      </c>
      <c r="AA9">
        <f t="shared" si="24"/>
        <v>836.68255425284678</v>
      </c>
      <c r="AB9" s="1"/>
    </row>
    <row r="10" spans="2:28" x14ac:dyDescent="0.25">
      <c r="B10">
        <v>-1.3</v>
      </c>
      <c r="C10">
        <f t="shared" si="0"/>
        <v>0.43478260869565222</v>
      </c>
      <c r="D10" s="5">
        <f t="shared" si="1"/>
        <v>-107.41936046671762</v>
      </c>
      <c r="E10" s="6">
        <f t="shared" si="2"/>
        <v>-247.0645290734505</v>
      </c>
      <c r="F10" s="1">
        <f t="shared" si="3"/>
        <v>107.85414307541328</v>
      </c>
      <c r="G10" s="1">
        <f t="shared" si="4"/>
        <v>1</v>
      </c>
      <c r="H10" s="1">
        <f t="shared" si="5"/>
        <v>-1.3</v>
      </c>
      <c r="I10" s="1">
        <f t="shared" si="6"/>
        <v>1.6900000000000002</v>
      </c>
      <c r="J10" s="1">
        <f t="shared" si="7"/>
        <v>-2.1970000000000005</v>
      </c>
      <c r="K10" s="1">
        <f t="shared" si="8"/>
        <v>2.8561000000000005</v>
      </c>
      <c r="L10" s="1">
        <f t="shared" si="9"/>
        <v>-3.712930000000001</v>
      </c>
      <c r="M10" s="1">
        <f t="shared" si="10"/>
        <v>4.8268090000000017</v>
      </c>
      <c r="N10" s="1">
        <f t="shared" si="11"/>
        <v>-6.2748517000000028</v>
      </c>
      <c r="O10" s="1">
        <f t="shared" si="12"/>
        <v>8.1573072100000026</v>
      </c>
      <c r="P10" s="1">
        <f t="shared" si="13"/>
        <v>-10.604499373000003</v>
      </c>
      <c r="Q10" s="1">
        <f t="shared" si="14"/>
        <v>13.785849184900005</v>
      </c>
      <c r="R10" s="1">
        <f t="shared" si="15"/>
        <v>-17.921603940370009</v>
      </c>
      <c r="S10" s="1">
        <f t="shared" si="16"/>
        <v>23.298085122481012</v>
      </c>
      <c r="T10" s="1">
        <f t="shared" si="17"/>
        <v>-30.287510659225319</v>
      </c>
      <c r="U10">
        <f t="shared" si="18"/>
        <v>39.373763856992916</v>
      </c>
      <c r="V10">
        <f t="shared" si="19"/>
        <v>-51.185893014090794</v>
      </c>
      <c r="W10">
        <f t="shared" si="20"/>
        <v>66.54166091831803</v>
      </c>
      <c r="X10">
        <f t="shared" si="21"/>
        <v>-86.504159193813436</v>
      </c>
      <c r="Y10">
        <f t="shared" si="22"/>
        <v>112.45540695195749</v>
      </c>
      <c r="Z10">
        <f t="shared" si="23"/>
        <v>-146.19202903754476</v>
      </c>
      <c r="AA10">
        <f t="shared" si="24"/>
        <v>190.04963774880815</v>
      </c>
      <c r="AB10" s="1"/>
    </row>
    <row r="11" spans="2:28" x14ac:dyDescent="0.25">
      <c r="B11">
        <v>-1.2</v>
      </c>
      <c r="C11">
        <f t="shared" si="0"/>
        <v>0.45454545454545453</v>
      </c>
      <c r="D11" s="5">
        <f t="shared" si="1"/>
        <v>-20.91141814062258</v>
      </c>
      <c r="E11" s="6">
        <f t="shared" si="2"/>
        <v>-46.005119909369675</v>
      </c>
      <c r="F11" s="1">
        <f t="shared" si="3"/>
        <v>21.365963595168033</v>
      </c>
      <c r="G11" s="1">
        <f t="shared" si="4"/>
        <v>1</v>
      </c>
      <c r="H11" s="1">
        <f t="shared" si="5"/>
        <v>-1.2</v>
      </c>
      <c r="I11" s="1">
        <f t="shared" si="6"/>
        <v>1.44</v>
      </c>
      <c r="J11" s="1">
        <f t="shared" si="7"/>
        <v>-1.728</v>
      </c>
      <c r="K11" s="1">
        <f t="shared" si="8"/>
        <v>2.0735999999999999</v>
      </c>
      <c r="L11" s="1">
        <f t="shared" si="9"/>
        <v>-2.4883199999999999</v>
      </c>
      <c r="M11" s="1">
        <f t="shared" si="10"/>
        <v>2.9859839999999997</v>
      </c>
      <c r="N11" s="1">
        <f t="shared" si="11"/>
        <v>-3.5831807999999996</v>
      </c>
      <c r="O11" s="1">
        <f t="shared" si="12"/>
        <v>4.2998169599999994</v>
      </c>
      <c r="P11" s="1">
        <f t="shared" si="13"/>
        <v>-5.1597803519999994</v>
      </c>
      <c r="Q11" s="1">
        <f t="shared" si="14"/>
        <v>6.1917364223999991</v>
      </c>
      <c r="R11" s="1">
        <f t="shared" si="15"/>
        <v>-7.4300837068799988</v>
      </c>
      <c r="S11" s="1">
        <f t="shared" si="16"/>
        <v>8.9161004482559978</v>
      </c>
      <c r="T11" s="1">
        <f t="shared" si="17"/>
        <v>-10.699320537907198</v>
      </c>
      <c r="U11">
        <f t="shared" si="18"/>
        <v>12.839184645488636</v>
      </c>
      <c r="V11">
        <f t="shared" si="19"/>
        <v>-15.407021574586365</v>
      </c>
      <c r="W11">
        <f t="shared" si="20"/>
        <v>18.488425889503635</v>
      </c>
      <c r="X11">
        <f t="shared" si="21"/>
        <v>-22.186111067404362</v>
      </c>
      <c r="Y11">
        <f t="shared" si="22"/>
        <v>26.623333280885234</v>
      </c>
      <c r="Z11">
        <f t="shared" si="23"/>
        <v>-31.947999937062281</v>
      </c>
      <c r="AA11">
        <f t="shared" si="24"/>
        <v>38.337599924474738</v>
      </c>
      <c r="AB11" s="1"/>
    </row>
    <row r="12" spans="2:28" x14ac:dyDescent="0.25">
      <c r="B12">
        <v>-1.1000000000000001</v>
      </c>
      <c r="C12">
        <f t="shared" si="0"/>
        <v>0.47619047619047616</v>
      </c>
      <c r="D12" s="5">
        <f t="shared" si="1"/>
        <v>-3.5239285448848419</v>
      </c>
      <c r="E12" s="6">
        <f t="shared" si="2"/>
        <v>-7.4002499442581682</v>
      </c>
      <c r="F12" s="1">
        <f t="shared" si="3"/>
        <v>4.0001190210753181</v>
      </c>
      <c r="G12" s="1">
        <f t="shared" si="4"/>
        <v>1</v>
      </c>
      <c r="H12" s="1">
        <f t="shared" si="5"/>
        <v>-1.1000000000000001</v>
      </c>
      <c r="I12" s="1">
        <f t="shared" si="6"/>
        <v>1.2100000000000002</v>
      </c>
      <c r="J12" s="1">
        <f t="shared" si="7"/>
        <v>-1.3310000000000004</v>
      </c>
      <c r="K12" s="1">
        <f t="shared" si="8"/>
        <v>1.4641000000000004</v>
      </c>
      <c r="L12" s="1">
        <f t="shared" si="9"/>
        <v>-1.6105100000000006</v>
      </c>
      <c r="M12" s="1">
        <f t="shared" si="10"/>
        <v>1.7715610000000008</v>
      </c>
      <c r="N12" s="1">
        <f t="shared" si="11"/>
        <v>-1.9487171000000012</v>
      </c>
      <c r="O12" s="1">
        <f t="shared" si="12"/>
        <v>2.1435888100000011</v>
      </c>
      <c r="P12" s="1">
        <f t="shared" si="13"/>
        <v>-2.3579476910000015</v>
      </c>
      <c r="Q12" s="1">
        <f t="shared" si="14"/>
        <v>2.5937424601000019</v>
      </c>
      <c r="R12" s="1">
        <f t="shared" si="15"/>
        <v>-2.8531167061100025</v>
      </c>
      <c r="S12" s="1">
        <f t="shared" si="16"/>
        <v>3.1384283767210026</v>
      </c>
      <c r="T12" s="1">
        <f t="shared" si="17"/>
        <v>-3.4522712143931029</v>
      </c>
      <c r="U12">
        <f t="shared" si="18"/>
        <v>3.7974983358324139</v>
      </c>
      <c r="V12">
        <f t="shared" si="19"/>
        <v>-4.1772481694156554</v>
      </c>
      <c r="W12">
        <f t="shared" si="20"/>
        <v>4.5949729863572211</v>
      </c>
      <c r="X12">
        <f t="shared" si="21"/>
        <v>-5.0544702849929433</v>
      </c>
      <c r="Y12">
        <f t="shared" si="22"/>
        <v>5.5599173134922379</v>
      </c>
      <c r="Z12">
        <f t="shared" si="23"/>
        <v>-6.1159090448414632</v>
      </c>
      <c r="AA12">
        <f t="shared" si="24"/>
        <v>6.7274999493256091</v>
      </c>
      <c r="AB12" s="1"/>
    </row>
    <row r="13" spans="2:28" x14ac:dyDescent="0.25">
      <c r="B13">
        <v>-1</v>
      </c>
      <c r="C13">
        <f t="shared" si="0"/>
        <v>0.5</v>
      </c>
      <c r="D13" s="5">
        <f t="shared" si="1"/>
        <v>-0.5</v>
      </c>
      <c r="E13" s="6">
        <f t="shared" si="2"/>
        <v>-1</v>
      </c>
      <c r="F13" s="1">
        <f t="shared" si="3"/>
        <v>1</v>
      </c>
      <c r="G13" s="1">
        <f t="shared" si="4"/>
        <v>1</v>
      </c>
      <c r="H13" s="1">
        <f t="shared" si="5"/>
        <v>-1</v>
      </c>
      <c r="I13" s="1">
        <f t="shared" si="6"/>
        <v>1</v>
      </c>
      <c r="J13" s="1">
        <f t="shared" si="7"/>
        <v>-1</v>
      </c>
      <c r="K13" s="1">
        <f t="shared" si="8"/>
        <v>1</v>
      </c>
      <c r="L13" s="1">
        <f t="shared" si="9"/>
        <v>-1</v>
      </c>
      <c r="M13" s="1">
        <f t="shared" si="10"/>
        <v>1</v>
      </c>
      <c r="N13" s="1">
        <f t="shared" si="11"/>
        <v>-1</v>
      </c>
      <c r="O13" s="1">
        <f t="shared" si="12"/>
        <v>1</v>
      </c>
      <c r="P13" s="1">
        <f t="shared" si="13"/>
        <v>-1</v>
      </c>
      <c r="Q13" s="1">
        <f t="shared" si="14"/>
        <v>1</v>
      </c>
      <c r="R13" s="1">
        <f t="shared" si="15"/>
        <v>-1</v>
      </c>
      <c r="S13" s="1">
        <f t="shared" si="16"/>
        <v>1</v>
      </c>
      <c r="T13" s="1">
        <f t="shared" si="17"/>
        <v>-1</v>
      </c>
      <c r="U13">
        <f t="shared" si="18"/>
        <v>1</v>
      </c>
      <c r="V13">
        <f t="shared" si="19"/>
        <v>-1</v>
      </c>
      <c r="W13">
        <f t="shared" si="20"/>
        <v>1</v>
      </c>
      <c r="X13">
        <f t="shared" si="21"/>
        <v>-1</v>
      </c>
      <c r="Y13">
        <f t="shared" si="22"/>
        <v>1</v>
      </c>
      <c r="Z13">
        <f t="shared" si="23"/>
        <v>-1</v>
      </c>
      <c r="AA13">
        <f t="shared" si="24"/>
        <v>1</v>
      </c>
      <c r="AB13" s="1"/>
    </row>
    <row r="14" spans="2:28" x14ac:dyDescent="0.25">
      <c r="B14">
        <v>-0.9</v>
      </c>
      <c r="C14">
        <f t="shared" si="0"/>
        <v>0.52631578947368418</v>
      </c>
      <c r="D14" s="5">
        <f t="shared" si="1"/>
        <v>-5.7588941648164527E-2</v>
      </c>
      <c r="E14" s="5">
        <f t="shared" si="2"/>
        <v>-0.1094189891315126</v>
      </c>
      <c r="F14" s="1">
        <f t="shared" si="3"/>
        <v>0.58390473112184871</v>
      </c>
      <c r="G14" s="1">
        <f t="shared" si="4"/>
        <v>1</v>
      </c>
      <c r="H14" s="1">
        <f t="shared" si="5"/>
        <v>-0.9</v>
      </c>
      <c r="I14" s="1">
        <f t="shared" si="6"/>
        <v>0.81</v>
      </c>
      <c r="J14" s="1">
        <f t="shared" si="7"/>
        <v>-0.72900000000000009</v>
      </c>
      <c r="K14" s="1">
        <f t="shared" si="8"/>
        <v>0.65610000000000013</v>
      </c>
      <c r="L14" s="1">
        <f t="shared" si="9"/>
        <v>-0.59049000000000018</v>
      </c>
      <c r="M14" s="1">
        <f t="shared" si="10"/>
        <v>0.53144100000000016</v>
      </c>
      <c r="N14" s="1">
        <f t="shared" si="11"/>
        <v>-0.47829690000000014</v>
      </c>
      <c r="O14" s="1">
        <f t="shared" si="12"/>
        <v>0.43046721000000016</v>
      </c>
      <c r="P14" s="1">
        <f t="shared" si="13"/>
        <v>-0.38742048900000015</v>
      </c>
      <c r="Q14" s="1">
        <f t="shared" si="14"/>
        <v>0.34867844010000015</v>
      </c>
      <c r="R14" s="1">
        <f t="shared" si="15"/>
        <v>-0.31381059609000017</v>
      </c>
      <c r="S14" s="1">
        <f t="shared" si="16"/>
        <v>0.28242953648100017</v>
      </c>
      <c r="T14" s="1">
        <f t="shared" si="17"/>
        <v>-0.25418658283290019</v>
      </c>
      <c r="U14">
        <f t="shared" si="18"/>
        <v>0.22876792454961015</v>
      </c>
      <c r="V14">
        <f t="shared" si="19"/>
        <v>-0.20589113209464913</v>
      </c>
      <c r="W14">
        <f t="shared" si="20"/>
        <v>0.18530201888518424</v>
      </c>
      <c r="X14">
        <f t="shared" si="21"/>
        <v>-0.16677181699666582</v>
      </c>
      <c r="Y14">
        <f t="shared" si="22"/>
        <v>0.15009463529699923</v>
      </c>
      <c r="Z14">
        <f t="shared" si="23"/>
        <v>-0.13508517176729934</v>
      </c>
      <c r="AA14">
        <f t="shared" si="24"/>
        <v>0.12157665459056941</v>
      </c>
      <c r="AB14" s="1"/>
    </row>
    <row r="15" spans="2:28" x14ac:dyDescent="0.25">
      <c r="B15">
        <v>-0.8</v>
      </c>
      <c r="C15">
        <f t="shared" si="0"/>
        <v>0.55555555555555558</v>
      </c>
      <c r="D15" s="5">
        <f t="shared" si="1"/>
        <v>-5.1240955760304407E-3</v>
      </c>
      <c r="E15" s="5">
        <f t="shared" si="2"/>
        <v>-9.2233720368547923E-3</v>
      </c>
      <c r="F15" s="1">
        <f t="shared" si="3"/>
        <v>0.56067965113158602</v>
      </c>
      <c r="G15" s="1">
        <f t="shared" si="4"/>
        <v>1</v>
      </c>
      <c r="H15" s="1">
        <f t="shared" si="5"/>
        <v>-0.8</v>
      </c>
      <c r="I15" s="1">
        <f t="shared" si="6"/>
        <v>0.64000000000000012</v>
      </c>
      <c r="J15" s="1">
        <f t="shared" si="7"/>
        <v>-0.51200000000000012</v>
      </c>
      <c r="K15" s="1">
        <f t="shared" si="8"/>
        <v>0.40960000000000019</v>
      </c>
      <c r="L15" s="1">
        <f t="shared" si="9"/>
        <v>-0.32768000000000019</v>
      </c>
      <c r="M15" s="1">
        <f t="shared" si="10"/>
        <v>0.26214400000000015</v>
      </c>
      <c r="N15" s="1">
        <f t="shared" si="11"/>
        <v>-0.20971520000000016</v>
      </c>
      <c r="O15" s="1">
        <f t="shared" si="12"/>
        <v>0.16777216000000014</v>
      </c>
      <c r="P15" s="1">
        <f t="shared" si="13"/>
        <v>-0.13421772800000012</v>
      </c>
      <c r="Q15" s="1">
        <f t="shared" si="14"/>
        <v>0.10737418240000011</v>
      </c>
      <c r="R15" s="1">
        <f t="shared" si="15"/>
        <v>-8.5899345920000092E-2</v>
      </c>
      <c r="S15" s="1">
        <f t="shared" si="16"/>
        <v>6.8719476736000096E-2</v>
      </c>
      <c r="T15" s="1">
        <f t="shared" si="17"/>
        <v>-5.4975581388800078E-2</v>
      </c>
      <c r="U15">
        <f t="shared" si="18"/>
        <v>4.3980465111040062E-2</v>
      </c>
      <c r="V15">
        <f t="shared" si="19"/>
        <v>-3.5184372088832058E-2</v>
      </c>
      <c r="W15">
        <f t="shared" si="20"/>
        <v>2.8147497671065648E-2</v>
      </c>
      <c r="X15">
        <f t="shared" si="21"/>
        <v>-2.251799813685252E-2</v>
      </c>
      <c r="Y15">
        <f t="shared" si="22"/>
        <v>1.8014398509482017E-2</v>
      </c>
      <c r="Z15">
        <f t="shared" si="23"/>
        <v>-1.4411518807585615E-2</v>
      </c>
      <c r="AA15">
        <f t="shared" si="24"/>
        <v>1.1529215046068495E-2</v>
      </c>
      <c r="AB15" s="1"/>
    </row>
    <row r="16" spans="2:28" x14ac:dyDescent="0.25">
      <c r="B16">
        <v>-0.7</v>
      </c>
      <c r="C16">
        <f t="shared" si="0"/>
        <v>0.58823529411764708</v>
      </c>
      <c r="D16" s="5">
        <f t="shared" si="1"/>
        <v>-3.2855639063711362E-4</v>
      </c>
      <c r="E16" s="5">
        <f t="shared" si="2"/>
        <v>-5.5854586408309308E-4</v>
      </c>
      <c r="F16" s="1">
        <f t="shared" si="3"/>
        <v>0.58856385050828419</v>
      </c>
      <c r="G16" s="1">
        <f t="shared" si="4"/>
        <v>1</v>
      </c>
      <c r="H16" s="1">
        <f t="shared" si="5"/>
        <v>-0.7</v>
      </c>
      <c r="I16" s="1">
        <f t="shared" si="6"/>
        <v>0.48999999999999994</v>
      </c>
      <c r="J16" s="1">
        <f t="shared" si="7"/>
        <v>-0.34299999999999992</v>
      </c>
      <c r="K16" s="1">
        <f t="shared" si="8"/>
        <v>0.24009999999999992</v>
      </c>
      <c r="L16" s="1">
        <f t="shared" si="9"/>
        <v>-0.16806999999999994</v>
      </c>
      <c r="M16" s="1">
        <f t="shared" si="10"/>
        <v>0.11764899999999995</v>
      </c>
      <c r="N16" s="1">
        <f t="shared" si="11"/>
        <v>-8.235429999999995E-2</v>
      </c>
      <c r="O16" s="1">
        <f t="shared" si="12"/>
        <v>5.7648009999999965E-2</v>
      </c>
      <c r="P16" s="1">
        <f t="shared" si="13"/>
        <v>-4.0353606999999972E-2</v>
      </c>
      <c r="Q16" s="1">
        <f t="shared" si="14"/>
        <v>2.824752489999998E-2</v>
      </c>
      <c r="R16" s="1">
        <f t="shared" si="15"/>
        <v>-1.9773267429999984E-2</v>
      </c>
      <c r="S16" s="1">
        <f t="shared" si="16"/>
        <v>1.3841287200999986E-2</v>
      </c>
      <c r="T16" s="1">
        <f t="shared" si="17"/>
        <v>-9.68890104069999E-3</v>
      </c>
      <c r="U16">
        <f t="shared" si="18"/>
        <v>6.7822307284899925E-3</v>
      </c>
      <c r="V16">
        <f t="shared" si="19"/>
        <v>-4.747561509942994E-3</v>
      </c>
      <c r="W16">
        <f t="shared" si="20"/>
        <v>3.3232930569600961E-3</v>
      </c>
      <c r="X16">
        <f t="shared" si="21"/>
        <v>-2.3263051398720669E-3</v>
      </c>
      <c r="Y16">
        <f t="shared" si="22"/>
        <v>1.6284135979104468E-3</v>
      </c>
      <c r="Z16">
        <f t="shared" si="23"/>
        <v>-1.1398895185373127E-3</v>
      </c>
      <c r="AA16">
        <f t="shared" si="24"/>
        <v>7.9792266297611884E-4</v>
      </c>
      <c r="AB16" s="1"/>
    </row>
    <row r="17" spans="2:28" x14ac:dyDescent="0.25">
      <c r="B17">
        <v>-0.6</v>
      </c>
      <c r="C17">
        <f t="shared" si="0"/>
        <v>0.625</v>
      </c>
      <c r="D17" s="5">
        <f t="shared" si="1"/>
        <v>-1.371059415034015E-5</v>
      </c>
      <c r="E17" s="5">
        <f t="shared" si="2"/>
        <v>-2.1936950640544238E-5</v>
      </c>
      <c r="F17" s="1">
        <f t="shared" si="3"/>
        <v>0.62501371059415034</v>
      </c>
      <c r="G17" s="1">
        <f t="shared" si="4"/>
        <v>1</v>
      </c>
      <c r="H17" s="1">
        <f t="shared" si="5"/>
        <v>-0.6</v>
      </c>
      <c r="I17" s="1">
        <f t="shared" si="6"/>
        <v>0.36</v>
      </c>
      <c r="J17" s="1">
        <f t="shared" si="7"/>
        <v>-0.216</v>
      </c>
      <c r="K17" s="1">
        <f t="shared" si="8"/>
        <v>0.12959999999999999</v>
      </c>
      <c r="L17" s="1">
        <f t="shared" si="9"/>
        <v>-7.7759999999999996E-2</v>
      </c>
      <c r="M17" s="1">
        <f t="shared" si="10"/>
        <v>4.6655999999999996E-2</v>
      </c>
      <c r="N17" s="1">
        <f t="shared" si="11"/>
        <v>-2.7993599999999997E-2</v>
      </c>
      <c r="O17" s="1">
        <f t="shared" si="12"/>
        <v>1.6796159999999997E-2</v>
      </c>
      <c r="P17" s="1">
        <f t="shared" si="13"/>
        <v>-1.0077695999999999E-2</v>
      </c>
      <c r="Q17" s="1">
        <f t="shared" si="14"/>
        <v>6.0466175999999991E-3</v>
      </c>
      <c r="R17" s="1">
        <f t="shared" si="15"/>
        <v>-3.6279705599999994E-3</v>
      </c>
      <c r="S17" s="1">
        <f t="shared" si="16"/>
        <v>2.1767823359999995E-3</v>
      </c>
      <c r="T17" s="1">
        <f t="shared" si="17"/>
        <v>-1.3060694015999998E-3</v>
      </c>
      <c r="U17">
        <f t="shared" si="18"/>
        <v>7.8364164095999977E-4</v>
      </c>
      <c r="V17">
        <f t="shared" si="19"/>
        <v>-4.701849845759999E-4</v>
      </c>
      <c r="W17">
        <f t="shared" si="20"/>
        <v>2.8211099074559989E-4</v>
      </c>
      <c r="X17">
        <f t="shared" si="21"/>
        <v>-1.6926659444735994E-4</v>
      </c>
      <c r="Y17">
        <f t="shared" si="22"/>
        <v>1.0155995666841596E-4</v>
      </c>
      <c r="Z17">
        <f t="shared" si="23"/>
        <v>-6.0935974001049578E-5</v>
      </c>
      <c r="AA17">
        <f t="shared" si="24"/>
        <v>3.6561584400629747E-5</v>
      </c>
      <c r="AB17" s="1"/>
    </row>
    <row r="18" spans="2:28" x14ac:dyDescent="0.25">
      <c r="B18">
        <v>-0.5</v>
      </c>
      <c r="C18">
        <f t="shared" si="0"/>
        <v>0.66666666666666663</v>
      </c>
      <c r="D18" s="5">
        <f t="shared" si="1"/>
        <v>-3.1789143883909077E-7</v>
      </c>
      <c r="E18" s="5">
        <f t="shared" si="2"/>
        <v>-4.7683715825863615E-7</v>
      </c>
      <c r="F18" s="1">
        <f t="shared" si="3"/>
        <v>0.66666698455810547</v>
      </c>
      <c r="G18" s="1">
        <f t="shared" si="4"/>
        <v>1</v>
      </c>
      <c r="H18" s="1">
        <f t="shared" si="5"/>
        <v>-0.5</v>
      </c>
      <c r="I18" s="1">
        <f t="shared" si="6"/>
        <v>0.25</v>
      </c>
      <c r="J18" s="1">
        <f t="shared" si="7"/>
        <v>-0.125</v>
      </c>
      <c r="K18" s="1">
        <f t="shared" si="8"/>
        <v>6.25E-2</v>
      </c>
      <c r="L18" s="1">
        <f t="shared" si="9"/>
        <v>-3.125E-2</v>
      </c>
      <c r="M18" s="1">
        <f t="shared" si="10"/>
        <v>1.5625E-2</v>
      </c>
      <c r="N18" s="1">
        <f t="shared" si="11"/>
        <v>-7.8125E-3</v>
      </c>
      <c r="O18" s="1">
        <f t="shared" si="12"/>
        <v>3.90625E-3</v>
      </c>
      <c r="P18" s="1">
        <f t="shared" si="13"/>
        <v>-1.953125E-3</v>
      </c>
      <c r="Q18" s="1">
        <f t="shared" si="14"/>
        <v>9.765625E-4</v>
      </c>
      <c r="R18" s="1">
        <f t="shared" si="15"/>
        <v>-4.8828125E-4</v>
      </c>
      <c r="S18" s="1">
        <f t="shared" si="16"/>
        <v>2.44140625E-4</v>
      </c>
      <c r="T18" s="1">
        <f t="shared" si="17"/>
        <v>-1.220703125E-4</v>
      </c>
      <c r="U18">
        <f t="shared" si="18"/>
        <v>6.103515625E-5</v>
      </c>
      <c r="V18">
        <f t="shared" si="19"/>
        <v>-3.0517578125E-5</v>
      </c>
      <c r="W18">
        <f t="shared" si="20"/>
        <v>1.52587890625E-5</v>
      </c>
      <c r="X18">
        <f t="shared" si="21"/>
        <v>-7.62939453125E-6</v>
      </c>
      <c r="Y18">
        <f t="shared" si="22"/>
        <v>3.814697265625E-6</v>
      </c>
      <c r="Z18">
        <f t="shared" si="23"/>
        <v>-1.9073486328125E-6</v>
      </c>
      <c r="AA18">
        <f t="shared" si="24"/>
        <v>9.5367431640625E-7</v>
      </c>
      <c r="AB18" s="1"/>
    </row>
    <row r="19" spans="2:28" x14ac:dyDescent="0.25">
      <c r="B19">
        <v>-0.4</v>
      </c>
      <c r="C19">
        <f t="shared" si="0"/>
        <v>0.7142857142857143</v>
      </c>
      <c r="D19" s="5">
        <f t="shared" si="1"/>
        <v>-3.141461646372079E-9</v>
      </c>
      <c r="E19" s="5">
        <f t="shared" si="2"/>
        <v>-4.3980463049209105E-9</v>
      </c>
      <c r="F19" s="1">
        <f t="shared" si="3"/>
        <v>0.71428571742717595</v>
      </c>
      <c r="G19" s="1">
        <f t="shared" si="4"/>
        <v>1</v>
      </c>
      <c r="H19" s="1">
        <f t="shared" si="5"/>
        <v>-0.4</v>
      </c>
      <c r="I19" s="1">
        <f t="shared" si="6"/>
        <v>0.16000000000000003</v>
      </c>
      <c r="J19" s="1">
        <f t="shared" si="7"/>
        <v>-6.4000000000000015E-2</v>
      </c>
      <c r="K19" s="1">
        <f t="shared" si="8"/>
        <v>2.5600000000000012E-2</v>
      </c>
      <c r="L19" s="1">
        <f t="shared" si="9"/>
        <v>-1.0240000000000006E-2</v>
      </c>
      <c r="M19" s="1">
        <f t="shared" si="10"/>
        <v>4.0960000000000024E-3</v>
      </c>
      <c r="N19" s="1">
        <f t="shared" si="11"/>
        <v>-1.6384000000000012E-3</v>
      </c>
      <c r="O19" s="1">
        <f t="shared" si="12"/>
        <v>6.5536000000000056E-4</v>
      </c>
      <c r="P19" s="1">
        <f t="shared" si="13"/>
        <v>-2.6214400000000023E-4</v>
      </c>
      <c r="Q19" s="1">
        <f t="shared" si="14"/>
        <v>1.0485760000000011E-4</v>
      </c>
      <c r="R19" s="1">
        <f t="shared" si="15"/>
        <v>-4.1943040000000045E-5</v>
      </c>
      <c r="S19" s="1">
        <f t="shared" si="16"/>
        <v>1.6777216000000023E-5</v>
      </c>
      <c r="T19" s="1">
        <f t="shared" si="17"/>
        <v>-6.7108864000000095E-6</v>
      </c>
      <c r="U19">
        <f t="shared" si="18"/>
        <v>2.6843545600000038E-6</v>
      </c>
      <c r="V19">
        <f t="shared" si="19"/>
        <v>-1.0737418240000018E-6</v>
      </c>
      <c r="W19">
        <f t="shared" si="20"/>
        <v>4.2949672960000073E-7</v>
      </c>
      <c r="X19">
        <f t="shared" si="21"/>
        <v>-1.717986918400003E-7</v>
      </c>
      <c r="Y19">
        <f t="shared" si="22"/>
        <v>6.8719476736000124E-8</v>
      </c>
      <c r="Z19">
        <f t="shared" si="23"/>
        <v>-2.7487790694400052E-8</v>
      </c>
      <c r="AA19">
        <f t="shared" si="24"/>
        <v>1.0995116277760024E-8</v>
      </c>
      <c r="AB19" s="1"/>
    </row>
    <row r="20" spans="2:28" x14ac:dyDescent="0.25">
      <c r="B20">
        <v>-0.3</v>
      </c>
      <c r="C20">
        <f t="shared" si="0"/>
        <v>0.76923076923076916</v>
      </c>
      <c r="D20" s="5">
        <f t="shared" si="1"/>
        <v>-8.046341370970822E-12</v>
      </c>
      <c r="E20" s="5">
        <f t="shared" si="2"/>
        <v>-1.046024378226207E-11</v>
      </c>
      <c r="F20" s="1">
        <f t="shared" si="3"/>
        <v>0.7692307692388155</v>
      </c>
      <c r="G20" s="1">
        <f t="shared" si="4"/>
        <v>1</v>
      </c>
      <c r="H20" s="1">
        <f t="shared" si="5"/>
        <v>-0.3</v>
      </c>
      <c r="I20" s="1">
        <f t="shared" si="6"/>
        <v>0.09</v>
      </c>
      <c r="J20" s="1">
        <f t="shared" si="7"/>
        <v>-2.7E-2</v>
      </c>
      <c r="K20" s="1">
        <f t="shared" si="8"/>
        <v>8.0999999999999996E-3</v>
      </c>
      <c r="L20" s="1">
        <f t="shared" si="9"/>
        <v>-2.4299999999999999E-3</v>
      </c>
      <c r="M20" s="1">
        <f t="shared" si="10"/>
        <v>7.2899999999999994E-4</v>
      </c>
      <c r="N20" s="1">
        <f t="shared" si="11"/>
        <v>-2.1869999999999998E-4</v>
      </c>
      <c r="O20" s="1">
        <f t="shared" si="12"/>
        <v>6.560999999999999E-5</v>
      </c>
      <c r="P20" s="1">
        <f t="shared" si="13"/>
        <v>-1.9682999999999998E-5</v>
      </c>
      <c r="Q20" s="1">
        <f t="shared" si="14"/>
        <v>5.9048999999999991E-6</v>
      </c>
      <c r="R20" s="1">
        <f t="shared" si="15"/>
        <v>-1.7714699999999997E-6</v>
      </c>
      <c r="S20" s="1">
        <f t="shared" si="16"/>
        <v>5.3144099999999987E-7</v>
      </c>
      <c r="T20" s="1">
        <f t="shared" si="17"/>
        <v>-1.5943229999999997E-7</v>
      </c>
      <c r="U20">
        <f t="shared" si="18"/>
        <v>4.7829689999999986E-8</v>
      </c>
      <c r="V20">
        <f t="shared" si="19"/>
        <v>-1.4348906999999997E-8</v>
      </c>
      <c r="W20">
        <f t="shared" si="20"/>
        <v>4.3046720999999984E-9</v>
      </c>
      <c r="X20">
        <f t="shared" si="21"/>
        <v>-1.2914016299999995E-9</v>
      </c>
      <c r="Y20">
        <f t="shared" si="22"/>
        <v>3.8742048899999985E-10</v>
      </c>
      <c r="Z20">
        <f t="shared" si="23"/>
        <v>-1.1622614669999996E-10</v>
      </c>
      <c r="AA20">
        <f t="shared" si="24"/>
        <v>3.4867844009999988E-11</v>
      </c>
      <c r="AB20" s="1"/>
    </row>
    <row r="21" spans="2:28" x14ac:dyDescent="0.25">
      <c r="B21">
        <v>-0.2</v>
      </c>
      <c r="C21">
        <f t="shared" si="0"/>
        <v>0.83333333333333337</v>
      </c>
      <c r="D21" s="5">
        <f t="shared" si="1"/>
        <v>-1.7763568394002505E-15</v>
      </c>
      <c r="E21" s="5">
        <f t="shared" si="2"/>
        <v>-2.1316282072803005E-15</v>
      </c>
      <c r="F21" s="1">
        <f t="shared" si="3"/>
        <v>0.83333333333333515</v>
      </c>
      <c r="G21" s="1">
        <f t="shared" si="4"/>
        <v>1</v>
      </c>
      <c r="H21" s="1">
        <f t="shared" si="5"/>
        <v>-0.2</v>
      </c>
      <c r="I21" s="1">
        <f t="shared" si="6"/>
        <v>4.0000000000000008E-2</v>
      </c>
      <c r="J21" s="1">
        <f t="shared" si="7"/>
        <v>-8.0000000000000019E-3</v>
      </c>
      <c r="K21" s="1">
        <f t="shared" si="8"/>
        <v>1.6000000000000007E-3</v>
      </c>
      <c r="L21" s="1">
        <f t="shared" si="9"/>
        <v>-3.2000000000000019E-4</v>
      </c>
      <c r="M21" s="1">
        <f t="shared" si="10"/>
        <v>6.4000000000000038E-5</v>
      </c>
      <c r="N21" s="1">
        <f t="shared" si="11"/>
        <v>-1.280000000000001E-5</v>
      </c>
      <c r="O21" s="1">
        <f t="shared" si="12"/>
        <v>2.5600000000000022E-6</v>
      </c>
      <c r="P21" s="1">
        <f t="shared" si="13"/>
        <v>-5.1200000000000046E-7</v>
      </c>
      <c r="Q21" s="1">
        <f t="shared" si="14"/>
        <v>1.0240000000000011E-7</v>
      </c>
      <c r="R21" s="1">
        <f t="shared" si="15"/>
        <v>-2.0480000000000022E-8</v>
      </c>
      <c r="S21" s="1">
        <f t="shared" si="16"/>
        <v>4.0960000000000057E-9</v>
      </c>
      <c r="T21" s="1">
        <f t="shared" si="17"/>
        <v>-8.1920000000000116E-10</v>
      </c>
      <c r="U21">
        <f t="shared" si="18"/>
        <v>1.6384000000000023E-10</v>
      </c>
      <c r="V21">
        <f t="shared" si="19"/>
        <v>-3.2768000000000054E-11</v>
      </c>
      <c r="W21">
        <f t="shared" si="20"/>
        <v>6.5536000000000112E-12</v>
      </c>
      <c r="X21">
        <f t="shared" si="21"/>
        <v>-1.3107200000000023E-12</v>
      </c>
      <c r="Y21">
        <f t="shared" si="22"/>
        <v>2.6214400000000047E-13</v>
      </c>
      <c r="Z21">
        <f t="shared" si="23"/>
        <v>-5.24288000000001E-14</v>
      </c>
      <c r="AA21">
        <f t="shared" si="24"/>
        <v>1.0485760000000023E-14</v>
      </c>
      <c r="AB21" s="1"/>
    </row>
    <row r="22" spans="2:28" x14ac:dyDescent="0.25">
      <c r="B22">
        <v>-0.1</v>
      </c>
      <c r="C22">
        <f t="shared" si="0"/>
        <v>0.90909090909090906</v>
      </c>
      <c r="D22" s="5">
        <f t="shared" si="1"/>
        <v>0</v>
      </c>
      <c r="E22" s="5">
        <f t="shared" si="2"/>
        <v>0</v>
      </c>
      <c r="F22" s="1">
        <f t="shared" si="3"/>
        <v>0.90909090909090928</v>
      </c>
      <c r="G22" s="1">
        <f>B22^0</f>
        <v>1</v>
      </c>
      <c r="H22" s="1">
        <f t="shared" ref="H22" si="25">B22^1</f>
        <v>-0.1</v>
      </c>
      <c r="I22" s="1">
        <f t="shared" ref="I22:I34" si="26">B22^2</f>
        <v>1.0000000000000002E-2</v>
      </c>
      <c r="J22" s="1">
        <f t="shared" ref="J22:J34" si="27">B22^3</f>
        <v>-1.0000000000000002E-3</v>
      </c>
      <c r="K22" s="1">
        <f t="shared" ref="K22:K34" si="28">B22^4</f>
        <v>1.0000000000000005E-4</v>
      </c>
      <c r="L22" s="1">
        <f t="shared" ref="L22:L34" si="29">B22^5</f>
        <v>-1.0000000000000006E-5</v>
      </c>
      <c r="M22" s="1">
        <f>B22^6</f>
        <v>1.0000000000000006E-6</v>
      </c>
      <c r="N22" s="1">
        <f>B22^7</f>
        <v>-1.0000000000000007E-7</v>
      </c>
      <c r="O22" s="1">
        <f>B22^8</f>
        <v>1.0000000000000008E-8</v>
      </c>
      <c r="P22" s="1">
        <f>B22^9</f>
        <v>-1.0000000000000009E-9</v>
      </c>
      <c r="Q22" s="1">
        <f>B22^10</f>
        <v>1.0000000000000011E-10</v>
      </c>
      <c r="R22" s="1">
        <f>B22^11</f>
        <v>-1.0000000000000011E-11</v>
      </c>
      <c r="S22" s="1">
        <f>B22^12</f>
        <v>1.0000000000000014E-12</v>
      </c>
      <c r="T22" s="1">
        <f>B22^13</f>
        <v>-1.0000000000000014E-13</v>
      </c>
      <c r="U22">
        <f>B22^14</f>
        <v>1.0000000000000014E-14</v>
      </c>
      <c r="V22">
        <f>B22^15</f>
        <v>-1.0000000000000017E-15</v>
      </c>
      <c r="W22">
        <f>B22^16</f>
        <v>1.0000000000000017E-16</v>
      </c>
      <c r="X22">
        <f>B22^17</f>
        <v>-1.0000000000000018E-17</v>
      </c>
      <c r="Y22">
        <f>B22^18</f>
        <v>1.0000000000000018E-18</v>
      </c>
      <c r="Z22">
        <f>B22^19</f>
        <v>-1.0000000000000019E-19</v>
      </c>
      <c r="AA22">
        <f>B22^20</f>
        <v>1.0000000000000022E-20</v>
      </c>
      <c r="AB22" s="1"/>
    </row>
    <row r="23" spans="2:28" x14ac:dyDescent="0.25">
      <c r="B23">
        <v>0</v>
      </c>
      <c r="C23">
        <f>1/(1-B23)</f>
        <v>1</v>
      </c>
      <c r="D23" s="5">
        <f>C23-F23</f>
        <v>0</v>
      </c>
      <c r="E23" s="5">
        <f>D23/C23</f>
        <v>0</v>
      </c>
      <c r="F23" s="1">
        <f t="shared" ref="F23:F43" si="30">SUM(G23:AA23)</f>
        <v>1</v>
      </c>
      <c r="G23" s="1">
        <v>1</v>
      </c>
      <c r="H23" s="1">
        <f t="shared" ref="H23" si="31">B23^1</f>
        <v>0</v>
      </c>
      <c r="I23" s="1">
        <f t="shared" si="26"/>
        <v>0</v>
      </c>
      <c r="J23" s="1">
        <f t="shared" si="27"/>
        <v>0</v>
      </c>
      <c r="K23" s="1">
        <f t="shared" si="28"/>
        <v>0</v>
      </c>
      <c r="L23" s="1">
        <f t="shared" si="29"/>
        <v>0</v>
      </c>
      <c r="M23" s="1">
        <f>B23^6</f>
        <v>0</v>
      </c>
      <c r="N23" s="1">
        <f>B23^7</f>
        <v>0</v>
      </c>
      <c r="O23" s="1">
        <f>B23^8</f>
        <v>0</v>
      </c>
      <c r="P23" s="1">
        <f>B23^9</f>
        <v>0</v>
      </c>
      <c r="Q23" s="1">
        <f>B23^10</f>
        <v>0</v>
      </c>
      <c r="R23" s="1">
        <f>B23^11</f>
        <v>0</v>
      </c>
      <c r="S23" s="1">
        <f>B23^12</f>
        <v>0</v>
      </c>
      <c r="T23" s="1">
        <f>B23^13</f>
        <v>0</v>
      </c>
      <c r="U23">
        <f>B23^14</f>
        <v>0</v>
      </c>
      <c r="V23">
        <f>B23^15</f>
        <v>0</v>
      </c>
      <c r="W23">
        <f>B23^16</f>
        <v>0</v>
      </c>
      <c r="X23">
        <f>B23^17</f>
        <v>0</v>
      </c>
      <c r="Y23">
        <f>B23^18</f>
        <v>0</v>
      </c>
      <c r="Z23">
        <f>B23^19</f>
        <v>0</v>
      </c>
      <c r="AA23">
        <f>B23^20</f>
        <v>0</v>
      </c>
    </row>
    <row r="24" spans="2:28" x14ac:dyDescent="0.25">
      <c r="B24">
        <v>0.1</v>
      </c>
      <c r="C24">
        <f t="shared" ref="C24:C43" si="32">1/(1-B24)</f>
        <v>1.1111111111111112</v>
      </c>
      <c r="D24" s="5">
        <f t="shared" ref="D24:D43" si="33">C24-F24</f>
        <v>0</v>
      </c>
      <c r="E24" s="5">
        <f t="shared" ref="E24:E43" si="34">D24/C24</f>
        <v>0</v>
      </c>
      <c r="F24" s="1">
        <f>SUM(G24:AA24)</f>
        <v>1.1111111111111112</v>
      </c>
      <c r="G24" s="1">
        <f t="shared" ref="G24:G34" si="35">B24^0</f>
        <v>1</v>
      </c>
      <c r="H24" s="1">
        <f t="shared" ref="H24:H34" si="36">B24^1</f>
        <v>0.1</v>
      </c>
      <c r="I24" s="1">
        <f t="shared" si="26"/>
        <v>1.0000000000000002E-2</v>
      </c>
      <c r="J24" s="1">
        <f t="shared" si="27"/>
        <v>1.0000000000000002E-3</v>
      </c>
      <c r="K24" s="1">
        <f t="shared" si="28"/>
        <v>1.0000000000000005E-4</v>
      </c>
      <c r="L24" s="1">
        <f t="shared" si="29"/>
        <v>1.0000000000000006E-5</v>
      </c>
      <c r="M24" s="1">
        <f>B24^6</f>
        <v>1.0000000000000006E-6</v>
      </c>
      <c r="N24" s="1">
        <f t="shared" ref="N24:N34" si="37">B24^7</f>
        <v>1.0000000000000007E-7</v>
      </c>
      <c r="O24" s="1">
        <f>B24^8</f>
        <v>1.0000000000000008E-8</v>
      </c>
      <c r="P24" s="1">
        <f>B24^9</f>
        <v>1.0000000000000009E-9</v>
      </c>
      <c r="Q24" s="1">
        <f>B24^10</f>
        <v>1.0000000000000011E-10</v>
      </c>
      <c r="R24" s="1">
        <f>B24^11</f>
        <v>1.0000000000000011E-11</v>
      </c>
      <c r="S24" s="1">
        <f>B24^12</f>
        <v>1.0000000000000014E-12</v>
      </c>
      <c r="T24" s="1">
        <f>B24^13</f>
        <v>1.0000000000000014E-13</v>
      </c>
      <c r="U24">
        <f>B24^14</f>
        <v>1.0000000000000014E-14</v>
      </c>
      <c r="V24">
        <f>B24^15</f>
        <v>1.0000000000000017E-15</v>
      </c>
      <c r="W24">
        <f>B24^16</f>
        <v>1.0000000000000017E-16</v>
      </c>
      <c r="X24">
        <f>B24^17</f>
        <v>1.0000000000000018E-17</v>
      </c>
      <c r="Y24">
        <f>B24^18</f>
        <v>1.0000000000000018E-18</v>
      </c>
      <c r="Z24">
        <f>B24^19</f>
        <v>1.0000000000000019E-19</v>
      </c>
      <c r="AA24">
        <f>B24^20</f>
        <v>1.0000000000000022E-20</v>
      </c>
    </row>
    <row r="25" spans="2:28" x14ac:dyDescent="0.25">
      <c r="B25">
        <v>0.2</v>
      </c>
      <c r="C25">
        <f t="shared" si="32"/>
        <v>1.25</v>
      </c>
      <c r="D25" s="5">
        <f t="shared" si="33"/>
        <v>2.4424906541753444E-15</v>
      </c>
      <c r="E25" s="5">
        <f t="shared" si="34"/>
        <v>1.9539925233402757E-15</v>
      </c>
      <c r="F25" s="1">
        <f t="shared" si="30"/>
        <v>1.2499999999999976</v>
      </c>
      <c r="G25" s="1">
        <f t="shared" si="35"/>
        <v>1</v>
      </c>
      <c r="H25" s="1">
        <f t="shared" si="36"/>
        <v>0.2</v>
      </c>
      <c r="I25" s="1">
        <f t="shared" si="26"/>
        <v>4.0000000000000008E-2</v>
      </c>
      <c r="J25" s="1">
        <f t="shared" si="27"/>
        <v>8.0000000000000019E-3</v>
      </c>
      <c r="K25" s="1">
        <f t="shared" si="28"/>
        <v>1.6000000000000007E-3</v>
      </c>
      <c r="L25" s="1">
        <f t="shared" si="29"/>
        <v>3.2000000000000019E-4</v>
      </c>
      <c r="M25" s="1">
        <f t="shared" ref="M25:M34" si="38">B25^6</f>
        <v>6.4000000000000038E-5</v>
      </c>
      <c r="N25" s="1">
        <f t="shared" si="37"/>
        <v>1.280000000000001E-5</v>
      </c>
      <c r="O25" s="1">
        <f t="shared" ref="O25:O34" si="39">B25^8</f>
        <v>2.5600000000000022E-6</v>
      </c>
      <c r="P25" s="1">
        <f t="shared" ref="P25:P34" si="40">B25^9</f>
        <v>5.1200000000000046E-7</v>
      </c>
      <c r="Q25" s="1">
        <f t="shared" ref="Q25:Q34" si="41">B25^10</f>
        <v>1.0240000000000011E-7</v>
      </c>
      <c r="R25" s="1">
        <f t="shared" ref="R25:R34" si="42">B25^11</f>
        <v>2.0480000000000022E-8</v>
      </c>
      <c r="S25" s="1">
        <f t="shared" ref="S25:S34" si="43">B25^12</f>
        <v>4.0960000000000057E-9</v>
      </c>
      <c r="T25" s="1">
        <f t="shared" ref="T25:T34" si="44">B25^13</f>
        <v>8.1920000000000116E-10</v>
      </c>
      <c r="U25">
        <f t="shared" ref="U25:U34" si="45">B25^14</f>
        <v>1.6384000000000023E-10</v>
      </c>
      <c r="V25">
        <f t="shared" ref="V25:V34" si="46">B25^15</f>
        <v>3.2768000000000054E-11</v>
      </c>
      <c r="W25">
        <f t="shared" ref="W25:W34" si="47">B25^16</f>
        <v>6.5536000000000112E-12</v>
      </c>
      <c r="X25">
        <f t="shared" ref="X25:X34" si="48">B25^17</f>
        <v>1.3107200000000023E-12</v>
      </c>
      <c r="Y25">
        <f t="shared" ref="Y25:Y34" si="49">B25^18</f>
        <v>2.6214400000000047E-13</v>
      </c>
      <c r="Z25">
        <f t="shared" ref="Z25:Z34" si="50">B25^19</f>
        <v>5.24288000000001E-14</v>
      </c>
      <c r="AA25">
        <f t="shared" ref="AA25:AA34" si="51">B25^20</f>
        <v>1.0485760000000023E-14</v>
      </c>
    </row>
    <row r="26" spans="2:28" x14ac:dyDescent="0.25">
      <c r="B26">
        <v>0.3</v>
      </c>
      <c r="C26">
        <f t="shared" si="32"/>
        <v>1.4285714285714286</v>
      </c>
      <c r="D26" s="5">
        <f t="shared" si="33"/>
        <v>1.4942935777639832E-11</v>
      </c>
      <c r="E26" s="5">
        <f t="shared" si="34"/>
        <v>1.0460055044347883E-11</v>
      </c>
      <c r="F26" s="1">
        <f t="shared" si="30"/>
        <v>1.4285714285564857</v>
      </c>
      <c r="G26" s="1">
        <f t="shared" si="35"/>
        <v>1</v>
      </c>
      <c r="H26" s="1">
        <f t="shared" si="36"/>
        <v>0.3</v>
      </c>
      <c r="I26" s="1">
        <f t="shared" si="26"/>
        <v>0.09</v>
      </c>
      <c r="J26" s="1">
        <f t="shared" si="27"/>
        <v>2.7E-2</v>
      </c>
      <c r="K26" s="1">
        <f t="shared" si="28"/>
        <v>8.0999999999999996E-3</v>
      </c>
      <c r="L26" s="1">
        <f t="shared" si="29"/>
        <v>2.4299999999999999E-3</v>
      </c>
      <c r="M26" s="1">
        <f t="shared" si="38"/>
        <v>7.2899999999999994E-4</v>
      </c>
      <c r="N26" s="1">
        <f t="shared" si="37"/>
        <v>2.1869999999999998E-4</v>
      </c>
      <c r="O26" s="1">
        <f t="shared" si="39"/>
        <v>6.560999999999999E-5</v>
      </c>
      <c r="P26" s="1">
        <f t="shared" si="40"/>
        <v>1.9682999999999998E-5</v>
      </c>
      <c r="Q26" s="1">
        <f t="shared" si="41"/>
        <v>5.9048999999999991E-6</v>
      </c>
      <c r="R26" s="1">
        <f t="shared" si="42"/>
        <v>1.7714699999999997E-6</v>
      </c>
      <c r="S26" s="1">
        <f t="shared" si="43"/>
        <v>5.3144099999999987E-7</v>
      </c>
      <c r="T26" s="1">
        <f t="shared" si="44"/>
        <v>1.5943229999999997E-7</v>
      </c>
      <c r="U26">
        <f t="shared" si="45"/>
        <v>4.7829689999999986E-8</v>
      </c>
      <c r="V26">
        <f t="shared" si="46"/>
        <v>1.4348906999999997E-8</v>
      </c>
      <c r="W26">
        <f t="shared" si="47"/>
        <v>4.3046720999999984E-9</v>
      </c>
      <c r="X26">
        <f t="shared" si="48"/>
        <v>1.2914016299999995E-9</v>
      </c>
      <c r="Y26">
        <f t="shared" si="49"/>
        <v>3.8742048899999985E-10</v>
      </c>
      <c r="Z26">
        <f t="shared" si="50"/>
        <v>1.1622614669999996E-10</v>
      </c>
      <c r="AA26">
        <f t="shared" si="51"/>
        <v>3.4867844009999988E-11</v>
      </c>
    </row>
    <row r="27" spans="2:28" x14ac:dyDescent="0.25">
      <c r="B27">
        <v>0.4</v>
      </c>
      <c r="C27">
        <f>1/(1-B27)</f>
        <v>1.6666666666666667</v>
      </c>
      <c r="D27" s="5">
        <f t="shared" si="33"/>
        <v>7.3300772118756186E-9</v>
      </c>
      <c r="E27" s="5">
        <f t="shared" si="34"/>
        <v>4.3980463271253713E-9</v>
      </c>
      <c r="F27" s="1">
        <f t="shared" si="30"/>
        <v>1.6666666593365895</v>
      </c>
      <c r="G27" s="1">
        <f t="shared" si="35"/>
        <v>1</v>
      </c>
      <c r="H27" s="1">
        <f t="shared" si="36"/>
        <v>0.4</v>
      </c>
      <c r="I27" s="1">
        <f t="shared" si="26"/>
        <v>0.16000000000000003</v>
      </c>
      <c r="J27" s="1">
        <f t="shared" si="27"/>
        <v>6.4000000000000015E-2</v>
      </c>
      <c r="K27" s="1">
        <f t="shared" si="28"/>
        <v>2.5600000000000012E-2</v>
      </c>
      <c r="L27" s="1">
        <f t="shared" si="29"/>
        <v>1.0240000000000006E-2</v>
      </c>
      <c r="M27" s="1">
        <f t="shared" si="38"/>
        <v>4.0960000000000024E-3</v>
      </c>
      <c r="N27" s="1">
        <f t="shared" si="37"/>
        <v>1.6384000000000012E-3</v>
      </c>
      <c r="O27" s="1">
        <f t="shared" si="39"/>
        <v>6.5536000000000056E-4</v>
      </c>
      <c r="P27" s="1">
        <f t="shared" si="40"/>
        <v>2.6214400000000023E-4</v>
      </c>
      <c r="Q27" s="1">
        <f t="shared" si="41"/>
        <v>1.0485760000000011E-4</v>
      </c>
      <c r="R27" s="1">
        <f t="shared" si="42"/>
        <v>4.1943040000000045E-5</v>
      </c>
      <c r="S27" s="1">
        <f t="shared" si="43"/>
        <v>1.6777216000000023E-5</v>
      </c>
      <c r="T27" s="1">
        <f t="shared" si="44"/>
        <v>6.7108864000000095E-6</v>
      </c>
      <c r="U27">
        <f t="shared" si="45"/>
        <v>2.6843545600000038E-6</v>
      </c>
      <c r="V27">
        <f t="shared" si="46"/>
        <v>1.0737418240000018E-6</v>
      </c>
      <c r="W27">
        <f t="shared" si="47"/>
        <v>4.2949672960000073E-7</v>
      </c>
      <c r="X27">
        <f t="shared" si="48"/>
        <v>1.717986918400003E-7</v>
      </c>
      <c r="Y27">
        <f t="shared" si="49"/>
        <v>6.8719476736000124E-8</v>
      </c>
      <c r="Z27">
        <f t="shared" si="50"/>
        <v>2.7487790694400052E-8</v>
      </c>
      <c r="AA27">
        <f t="shared" si="51"/>
        <v>1.0995116277760024E-8</v>
      </c>
    </row>
    <row r="28" spans="2:28" x14ac:dyDescent="0.25">
      <c r="B28">
        <v>0.5</v>
      </c>
      <c r="C28">
        <f t="shared" si="32"/>
        <v>2</v>
      </c>
      <c r="D28" s="5">
        <f t="shared" si="33"/>
        <v>9.5367431640625E-7</v>
      </c>
      <c r="E28" s="5">
        <f t="shared" si="34"/>
        <v>4.76837158203125E-7</v>
      </c>
      <c r="F28" s="1">
        <f t="shared" si="30"/>
        <v>1.9999990463256836</v>
      </c>
      <c r="G28" s="1">
        <f t="shared" si="35"/>
        <v>1</v>
      </c>
      <c r="H28" s="1">
        <f t="shared" si="36"/>
        <v>0.5</v>
      </c>
      <c r="I28" s="1">
        <f t="shared" si="26"/>
        <v>0.25</v>
      </c>
      <c r="J28" s="1">
        <f t="shared" si="27"/>
        <v>0.125</v>
      </c>
      <c r="K28" s="1">
        <f t="shared" si="28"/>
        <v>6.25E-2</v>
      </c>
      <c r="L28" s="1">
        <f t="shared" si="29"/>
        <v>3.125E-2</v>
      </c>
      <c r="M28" s="1">
        <f t="shared" si="38"/>
        <v>1.5625E-2</v>
      </c>
      <c r="N28" s="1">
        <f t="shared" si="37"/>
        <v>7.8125E-3</v>
      </c>
      <c r="O28" s="1">
        <f t="shared" si="39"/>
        <v>3.90625E-3</v>
      </c>
      <c r="P28" s="1">
        <f t="shared" si="40"/>
        <v>1.953125E-3</v>
      </c>
      <c r="Q28" s="1">
        <f t="shared" si="41"/>
        <v>9.765625E-4</v>
      </c>
      <c r="R28" s="1">
        <f t="shared" si="42"/>
        <v>4.8828125E-4</v>
      </c>
      <c r="S28" s="1">
        <f t="shared" si="43"/>
        <v>2.44140625E-4</v>
      </c>
      <c r="T28" s="1">
        <f t="shared" si="44"/>
        <v>1.220703125E-4</v>
      </c>
      <c r="U28">
        <f t="shared" si="45"/>
        <v>6.103515625E-5</v>
      </c>
      <c r="V28">
        <f t="shared" si="46"/>
        <v>3.0517578125E-5</v>
      </c>
      <c r="W28">
        <f t="shared" si="47"/>
        <v>1.52587890625E-5</v>
      </c>
      <c r="X28">
        <f t="shared" si="48"/>
        <v>7.62939453125E-6</v>
      </c>
      <c r="Y28">
        <f t="shared" si="49"/>
        <v>3.814697265625E-6</v>
      </c>
      <c r="Z28">
        <f t="shared" si="50"/>
        <v>1.9073486328125E-6</v>
      </c>
      <c r="AA28">
        <f t="shared" si="51"/>
        <v>9.5367431640625E-7</v>
      </c>
    </row>
    <row r="29" spans="2:28" x14ac:dyDescent="0.25">
      <c r="B29">
        <v>0.6</v>
      </c>
      <c r="C29">
        <f t="shared" si="32"/>
        <v>2.5</v>
      </c>
      <c r="D29" s="5">
        <f t="shared" si="33"/>
        <v>5.4842376600028331E-5</v>
      </c>
      <c r="E29" s="5">
        <f t="shared" si="34"/>
        <v>2.1936950640011332E-5</v>
      </c>
      <c r="F29" s="1">
        <f t="shared" si="30"/>
        <v>2.4999451576234</v>
      </c>
      <c r="G29" s="1">
        <f t="shared" si="35"/>
        <v>1</v>
      </c>
      <c r="H29" s="1">
        <f t="shared" si="36"/>
        <v>0.6</v>
      </c>
      <c r="I29" s="1">
        <f t="shared" si="26"/>
        <v>0.36</v>
      </c>
      <c r="J29" s="1">
        <f t="shared" si="27"/>
        <v>0.216</v>
      </c>
      <c r="K29" s="1">
        <f t="shared" si="28"/>
        <v>0.12959999999999999</v>
      </c>
      <c r="L29" s="1">
        <f t="shared" si="29"/>
        <v>7.7759999999999996E-2</v>
      </c>
      <c r="M29" s="1">
        <f t="shared" si="38"/>
        <v>4.6655999999999996E-2</v>
      </c>
      <c r="N29" s="1">
        <f t="shared" si="37"/>
        <v>2.7993599999999997E-2</v>
      </c>
      <c r="O29" s="1">
        <f t="shared" si="39"/>
        <v>1.6796159999999997E-2</v>
      </c>
      <c r="P29" s="1">
        <f t="shared" si="40"/>
        <v>1.0077695999999999E-2</v>
      </c>
      <c r="Q29" s="1">
        <f t="shared" si="41"/>
        <v>6.0466175999999991E-3</v>
      </c>
      <c r="R29" s="1">
        <f t="shared" si="42"/>
        <v>3.6279705599999994E-3</v>
      </c>
      <c r="S29" s="1">
        <f t="shared" si="43"/>
        <v>2.1767823359999995E-3</v>
      </c>
      <c r="T29" s="1">
        <f t="shared" si="44"/>
        <v>1.3060694015999998E-3</v>
      </c>
      <c r="U29">
        <f t="shared" si="45"/>
        <v>7.8364164095999977E-4</v>
      </c>
      <c r="V29">
        <f t="shared" si="46"/>
        <v>4.701849845759999E-4</v>
      </c>
      <c r="W29">
        <f t="shared" si="47"/>
        <v>2.8211099074559989E-4</v>
      </c>
      <c r="X29">
        <f t="shared" si="48"/>
        <v>1.6926659444735994E-4</v>
      </c>
      <c r="Y29">
        <f t="shared" si="49"/>
        <v>1.0155995666841596E-4</v>
      </c>
      <c r="Z29">
        <f t="shared" si="50"/>
        <v>6.0935974001049578E-5</v>
      </c>
      <c r="AA29">
        <f t="shared" si="51"/>
        <v>3.6561584400629747E-5</v>
      </c>
    </row>
    <row r="30" spans="2:28" x14ac:dyDescent="0.25">
      <c r="B30">
        <v>0.7</v>
      </c>
      <c r="C30">
        <f t="shared" si="32"/>
        <v>3.333333333333333</v>
      </c>
      <c r="D30" s="5">
        <f t="shared" si="33"/>
        <v>1.861819546944421E-3</v>
      </c>
      <c r="E30" s="5">
        <f t="shared" si="34"/>
        <v>5.5854586408332629E-4</v>
      </c>
      <c r="F30" s="1">
        <f t="shared" si="30"/>
        <v>3.3314715137863886</v>
      </c>
      <c r="G30" s="1">
        <f t="shared" si="35"/>
        <v>1</v>
      </c>
      <c r="H30" s="1">
        <f t="shared" si="36"/>
        <v>0.7</v>
      </c>
      <c r="I30" s="1">
        <f t="shared" si="26"/>
        <v>0.48999999999999994</v>
      </c>
      <c r="J30" s="1">
        <f t="shared" si="27"/>
        <v>0.34299999999999992</v>
      </c>
      <c r="K30" s="1">
        <f t="shared" si="28"/>
        <v>0.24009999999999992</v>
      </c>
      <c r="L30" s="1">
        <f t="shared" si="29"/>
        <v>0.16806999999999994</v>
      </c>
      <c r="M30" s="1">
        <f t="shared" si="38"/>
        <v>0.11764899999999995</v>
      </c>
      <c r="N30" s="1">
        <f t="shared" si="37"/>
        <v>8.235429999999995E-2</v>
      </c>
      <c r="O30" s="1">
        <f t="shared" si="39"/>
        <v>5.7648009999999965E-2</v>
      </c>
      <c r="P30" s="1">
        <f t="shared" si="40"/>
        <v>4.0353606999999972E-2</v>
      </c>
      <c r="Q30" s="1">
        <f t="shared" si="41"/>
        <v>2.824752489999998E-2</v>
      </c>
      <c r="R30" s="1">
        <f t="shared" si="42"/>
        <v>1.9773267429999984E-2</v>
      </c>
      <c r="S30" s="1">
        <f t="shared" si="43"/>
        <v>1.3841287200999986E-2</v>
      </c>
      <c r="T30" s="1">
        <f t="shared" si="44"/>
        <v>9.68890104069999E-3</v>
      </c>
      <c r="U30">
        <f t="shared" si="45"/>
        <v>6.7822307284899925E-3</v>
      </c>
      <c r="V30">
        <f t="shared" si="46"/>
        <v>4.747561509942994E-3</v>
      </c>
      <c r="W30">
        <f t="shared" si="47"/>
        <v>3.3232930569600961E-3</v>
      </c>
      <c r="X30">
        <f t="shared" si="48"/>
        <v>2.3263051398720669E-3</v>
      </c>
      <c r="Y30">
        <f t="shared" si="49"/>
        <v>1.6284135979104468E-3</v>
      </c>
      <c r="Z30">
        <f t="shared" si="50"/>
        <v>1.1398895185373127E-3</v>
      </c>
      <c r="AA30">
        <f t="shared" si="51"/>
        <v>7.9792266297611884E-4</v>
      </c>
    </row>
    <row r="31" spans="2:28" x14ac:dyDescent="0.25">
      <c r="B31">
        <v>0.8</v>
      </c>
      <c r="C31">
        <f t="shared" si="32"/>
        <v>5.0000000000000009</v>
      </c>
      <c r="D31" s="5">
        <f t="shared" si="33"/>
        <v>4.6116860184273634E-2</v>
      </c>
      <c r="E31" s="5">
        <f t="shared" si="34"/>
        <v>9.2233720368547246E-3</v>
      </c>
      <c r="F31" s="1">
        <f t="shared" si="30"/>
        <v>4.9538831398157273</v>
      </c>
      <c r="G31" s="1">
        <f t="shared" si="35"/>
        <v>1</v>
      </c>
      <c r="H31" s="1">
        <f t="shared" si="36"/>
        <v>0.8</v>
      </c>
      <c r="I31" s="1">
        <f t="shared" si="26"/>
        <v>0.64000000000000012</v>
      </c>
      <c r="J31" s="1">
        <f t="shared" si="27"/>
        <v>0.51200000000000012</v>
      </c>
      <c r="K31" s="1">
        <f t="shared" si="28"/>
        <v>0.40960000000000019</v>
      </c>
      <c r="L31" s="1">
        <f t="shared" si="29"/>
        <v>0.32768000000000019</v>
      </c>
      <c r="M31" s="1">
        <f t="shared" si="38"/>
        <v>0.26214400000000015</v>
      </c>
      <c r="N31" s="1">
        <f t="shared" si="37"/>
        <v>0.20971520000000016</v>
      </c>
      <c r="O31" s="1">
        <f t="shared" si="39"/>
        <v>0.16777216000000014</v>
      </c>
      <c r="P31" s="1">
        <f t="shared" si="40"/>
        <v>0.13421772800000012</v>
      </c>
      <c r="Q31" s="1">
        <f t="shared" si="41"/>
        <v>0.10737418240000011</v>
      </c>
      <c r="R31" s="1">
        <f t="shared" si="42"/>
        <v>8.5899345920000092E-2</v>
      </c>
      <c r="S31" s="1">
        <f t="shared" si="43"/>
        <v>6.8719476736000096E-2</v>
      </c>
      <c r="T31" s="1">
        <f t="shared" si="44"/>
        <v>5.4975581388800078E-2</v>
      </c>
      <c r="U31">
        <f t="shared" si="45"/>
        <v>4.3980465111040062E-2</v>
      </c>
      <c r="V31">
        <f t="shared" si="46"/>
        <v>3.5184372088832058E-2</v>
      </c>
      <c r="W31">
        <f t="shared" si="47"/>
        <v>2.8147497671065648E-2</v>
      </c>
      <c r="X31">
        <f t="shared" si="48"/>
        <v>2.251799813685252E-2</v>
      </c>
      <c r="Y31">
        <f t="shared" si="49"/>
        <v>1.8014398509482017E-2</v>
      </c>
      <c r="Z31">
        <f t="shared" si="50"/>
        <v>1.4411518807585615E-2</v>
      </c>
      <c r="AA31">
        <f t="shared" si="51"/>
        <v>1.1529215046068495E-2</v>
      </c>
    </row>
    <row r="32" spans="2:28" x14ac:dyDescent="0.25">
      <c r="B32">
        <v>0.9</v>
      </c>
      <c r="C32">
        <f t="shared" si="32"/>
        <v>10.000000000000002</v>
      </c>
      <c r="D32" s="5">
        <f t="shared" si="33"/>
        <v>1.0941898913151196</v>
      </c>
      <c r="E32" s="5">
        <f t="shared" si="34"/>
        <v>0.10941898913151193</v>
      </c>
      <c r="F32" s="1">
        <f t="shared" si="30"/>
        <v>8.9058101086848822</v>
      </c>
      <c r="G32" s="1">
        <f t="shared" si="35"/>
        <v>1</v>
      </c>
      <c r="H32" s="1">
        <f t="shared" si="36"/>
        <v>0.9</v>
      </c>
      <c r="I32" s="1">
        <f t="shared" si="26"/>
        <v>0.81</v>
      </c>
      <c r="J32" s="1">
        <f t="shared" si="27"/>
        <v>0.72900000000000009</v>
      </c>
      <c r="K32" s="1">
        <f t="shared" si="28"/>
        <v>0.65610000000000013</v>
      </c>
      <c r="L32" s="1">
        <f t="shared" si="29"/>
        <v>0.59049000000000018</v>
      </c>
      <c r="M32" s="1">
        <f t="shared" si="38"/>
        <v>0.53144100000000016</v>
      </c>
      <c r="N32" s="1">
        <f t="shared" si="37"/>
        <v>0.47829690000000014</v>
      </c>
      <c r="O32" s="1">
        <f t="shared" si="39"/>
        <v>0.43046721000000016</v>
      </c>
      <c r="P32" s="1">
        <f t="shared" si="40"/>
        <v>0.38742048900000015</v>
      </c>
      <c r="Q32" s="1">
        <f t="shared" si="41"/>
        <v>0.34867844010000015</v>
      </c>
      <c r="R32" s="1">
        <f t="shared" si="42"/>
        <v>0.31381059609000017</v>
      </c>
      <c r="S32" s="1">
        <f t="shared" si="43"/>
        <v>0.28242953648100017</v>
      </c>
      <c r="T32" s="1">
        <f t="shared" si="44"/>
        <v>0.25418658283290019</v>
      </c>
      <c r="U32">
        <f t="shared" si="45"/>
        <v>0.22876792454961015</v>
      </c>
      <c r="V32">
        <f t="shared" si="46"/>
        <v>0.20589113209464913</v>
      </c>
      <c r="W32">
        <f t="shared" si="47"/>
        <v>0.18530201888518424</v>
      </c>
      <c r="X32">
        <f t="shared" si="48"/>
        <v>0.16677181699666582</v>
      </c>
      <c r="Y32">
        <f t="shared" si="49"/>
        <v>0.15009463529699923</v>
      </c>
      <c r="Z32">
        <f t="shared" si="50"/>
        <v>0.13508517176729934</v>
      </c>
      <c r="AA32">
        <f t="shared" si="51"/>
        <v>0.12157665459056941</v>
      </c>
    </row>
    <row r="33" spans="2:27" x14ac:dyDescent="0.25">
      <c r="B33">
        <v>1</v>
      </c>
      <c r="C33" t="e">
        <f t="shared" si="32"/>
        <v>#DIV/0!</v>
      </c>
      <c r="D33" s="5" t="e">
        <f t="shared" si="33"/>
        <v>#DIV/0!</v>
      </c>
      <c r="E33" s="6" t="e">
        <f t="shared" si="34"/>
        <v>#DIV/0!</v>
      </c>
      <c r="F33" s="1">
        <f t="shared" si="30"/>
        <v>21</v>
      </c>
      <c r="G33" s="1">
        <f t="shared" si="35"/>
        <v>1</v>
      </c>
      <c r="H33" s="1">
        <f t="shared" si="36"/>
        <v>1</v>
      </c>
      <c r="I33" s="1">
        <f t="shared" si="26"/>
        <v>1</v>
      </c>
      <c r="J33" s="1">
        <f t="shared" si="27"/>
        <v>1</v>
      </c>
      <c r="K33" s="1">
        <f t="shared" si="28"/>
        <v>1</v>
      </c>
      <c r="L33" s="1">
        <f t="shared" si="29"/>
        <v>1</v>
      </c>
      <c r="M33" s="1">
        <f t="shared" si="38"/>
        <v>1</v>
      </c>
      <c r="N33" s="1">
        <f t="shared" si="37"/>
        <v>1</v>
      </c>
      <c r="O33" s="1">
        <f t="shared" si="39"/>
        <v>1</v>
      </c>
      <c r="P33" s="1">
        <f t="shared" si="40"/>
        <v>1</v>
      </c>
      <c r="Q33" s="1">
        <f t="shared" si="41"/>
        <v>1</v>
      </c>
      <c r="R33" s="1">
        <f t="shared" si="42"/>
        <v>1</v>
      </c>
      <c r="S33" s="1">
        <f t="shared" si="43"/>
        <v>1</v>
      </c>
      <c r="T33" s="1">
        <f t="shared" si="44"/>
        <v>1</v>
      </c>
      <c r="U33">
        <f t="shared" si="45"/>
        <v>1</v>
      </c>
      <c r="V33">
        <f t="shared" si="46"/>
        <v>1</v>
      </c>
      <c r="W33">
        <f t="shared" si="47"/>
        <v>1</v>
      </c>
      <c r="X33">
        <f t="shared" si="48"/>
        <v>1</v>
      </c>
      <c r="Y33">
        <f t="shared" si="49"/>
        <v>1</v>
      </c>
      <c r="Z33">
        <f t="shared" si="50"/>
        <v>1</v>
      </c>
      <c r="AA33">
        <f t="shared" si="51"/>
        <v>1</v>
      </c>
    </row>
    <row r="34" spans="2:27" x14ac:dyDescent="0.25">
      <c r="B34">
        <v>1.1000000000000001</v>
      </c>
      <c r="C34">
        <f t="shared" si="32"/>
        <v>-9.9999999999999911</v>
      </c>
      <c r="D34" s="5">
        <f t="shared" si="33"/>
        <v>-74.002499442581652</v>
      </c>
      <c r="E34" s="6">
        <f t="shared" si="34"/>
        <v>7.4002499442581717</v>
      </c>
      <c r="F34" s="1">
        <f t="shared" si="30"/>
        <v>64.002499442581666</v>
      </c>
      <c r="G34" s="1">
        <f t="shared" si="35"/>
        <v>1</v>
      </c>
      <c r="H34" s="1">
        <f t="shared" si="36"/>
        <v>1.1000000000000001</v>
      </c>
      <c r="I34" s="1">
        <f t="shared" si="26"/>
        <v>1.2100000000000002</v>
      </c>
      <c r="J34" s="1">
        <f t="shared" si="27"/>
        <v>1.3310000000000004</v>
      </c>
      <c r="K34" s="1">
        <f t="shared" si="28"/>
        <v>1.4641000000000004</v>
      </c>
      <c r="L34" s="1">
        <f t="shared" si="29"/>
        <v>1.6105100000000006</v>
      </c>
      <c r="M34" s="1">
        <f t="shared" si="38"/>
        <v>1.7715610000000008</v>
      </c>
      <c r="N34" s="1">
        <f t="shared" si="37"/>
        <v>1.9487171000000012</v>
      </c>
      <c r="O34" s="1">
        <f t="shared" si="39"/>
        <v>2.1435888100000011</v>
      </c>
      <c r="P34" s="1">
        <f t="shared" si="40"/>
        <v>2.3579476910000015</v>
      </c>
      <c r="Q34" s="1">
        <f t="shared" si="41"/>
        <v>2.5937424601000019</v>
      </c>
      <c r="R34" s="1">
        <f t="shared" si="42"/>
        <v>2.8531167061100025</v>
      </c>
      <c r="S34" s="1">
        <f t="shared" si="43"/>
        <v>3.1384283767210026</v>
      </c>
      <c r="T34" s="1">
        <f t="shared" si="44"/>
        <v>3.4522712143931029</v>
      </c>
      <c r="U34">
        <f t="shared" si="45"/>
        <v>3.7974983358324139</v>
      </c>
      <c r="V34">
        <f t="shared" si="46"/>
        <v>4.1772481694156554</v>
      </c>
      <c r="W34">
        <f t="shared" si="47"/>
        <v>4.5949729863572211</v>
      </c>
      <c r="X34">
        <f t="shared" si="48"/>
        <v>5.0544702849929433</v>
      </c>
      <c r="Y34">
        <f t="shared" si="49"/>
        <v>5.5599173134922379</v>
      </c>
      <c r="Z34">
        <f t="shared" si="50"/>
        <v>6.1159090448414632</v>
      </c>
      <c r="AA34">
        <f t="shared" si="51"/>
        <v>6.7274999493256091</v>
      </c>
    </row>
    <row r="35" spans="2:27" x14ac:dyDescent="0.25">
      <c r="B35">
        <v>1.2</v>
      </c>
      <c r="C35">
        <f t="shared" si="32"/>
        <v>-5.0000000000000009</v>
      </c>
      <c r="D35" s="5">
        <f t="shared" si="33"/>
        <v>-230.02559954684847</v>
      </c>
      <c r="E35" s="6">
        <f t="shared" si="34"/>
        <v>46.005119909369682</v>
      </c>
      <c r="F35" s="1">
        <f t="shared" si="30"/>
        <v>225.02559954684847</v>
      </c>
      <c r="G35" s="1">
        <f t="shared" ref="G35:G43" si="52">B35^0</f>
        <v>1</v>
      </c>
      <c r="H35" s="1">
        <f t="shared" ref="H35:H43" si="53">B35^1</f>
        <v>1.2</v>
      </c>
      <c r="I35" s="1">
        <f t="shared" ref="I35:I43" si="54">B35^2</f>
        <v>1.44</v>
      </c>
      <c r="J35" s="1">
        <f t="shared" ref="J35:J43" si="55">B35^3</f>
        <v>1.728</v>
      </c>
      <c r="K35" s="1">
        <f t="shared" ref="K35:K43" si="56">B35^4</f>
        <v>2.0735999999999999</v>
      </c>
      <c r="L35" s="1">
        <f t="shared" ref="L35:L43" si="57">B35^5</f>
        <v>2.4883199999999999</v>
      </c>
      <c r="M35" s="1">
        <f t="shared" ref="M35:M43" si="58">B35^6</f>
        <v>2.9859839999999997</v>
      </c>
      <c r="N35" s="1">
        <f t="shared" ref="N35:N43" si="59">B35^7</f>
        <v>3.5831807999999996</v>
      </c>
      <c r="O35" s="1">
        <f t="shared" ref="O35:O43" si="60">B35^8</f>
        <v>4.2998169599999994</v>
      </c>
      <c r="P35" s="1">
        <f t="shared" ref="P35:P43" si="61">B35^9</f>
        <v>5.1597803519999994</v>
      </c>
      <c r="Q35" s="1">
        <f t="shared" ref="Q35:Q43" si="62">B35^10</f>
        <v>6.1917364223999991</v>
      </c>
      <c r="R35" s="1">
        <f t="shared" ref="R35:R43" si="63">B35^11</f>
        <v>7.4300837068799988</v>
      </c>
      <c r="S35" s="1">
        <f t="shared" ref="S35:S43" si="64">B35^12</f>
        <v>8.9161004482559978</v>
      </c>
      <c r="T35" s="1">
        <f t="shared" ref="T35:T43" si="65">B35^13</f>
        <v>10.699320537907198</v>
      </c>
      <c r="U35">
        <f t="shared" ref="U35:U43" si="66">B35^14</f>
        <v>12.839184645488636</v>
      </c>
      <c r="V35">
        <f t="shared" ref="V35:V43" si="67">B35^15</f>
        <v>15.407021574586365</v>
      </c>
      <c r="W35">
        <f t="shared" ref="W35:W43" si="68">B35^16</f>
        <v>18.488425889503635</v>
      </c>
      <c r="X35">
        <f t="shared" ref="X35:X43" si="69">B35^17</f>
        <v>22.186111067404362</v>
      </c>
      <c r="Y35">
        <f t="shared" ref="Y35:Y43" si="70">B35^18</f>
        <v>26.623333280885234</v>
      </c>
      <c r="Z35">
        <f t="shared" ref="Z35:Z43" si="71">B35^19</f>
        <v>31.947999937062281</v>
      </c>
      <c r="AA35">
        <f t="shared" ref="AA35:AA43" si="72">B35^20</f>
        <v>38.337599924474738</v>
      </c>
    </row>
    <row r="36" spans="2:27" x14ac:dyDescent="0.25">
      <c r="B36">
        <v>1.3</v>
      </c>
      <c r="C36">
        <f t="shared" si="32"/>
        <v>-3.333333333333333</v>
      </c>
      <c r="D36" s="5">
        <f t="shared" si="33"/>
        <v>-823.54843024483546</v>
      </c>
      <c r="E36" s="6">
        <f t="shared" si="34"/>
        <v>247.06452907345067</v>
      </c>
      <c r="F36" s="1">
        <f t="shared" si="30"/>
        <v>820.21509691150209</v>
      </c>
      <c r="G36" s="1">
        <f t="shared" si="52"/>
        <v>1</v>
      </c>
      <c r="H36" s="1">
        <f t="shared" si="53"/>
        <v>1.3</v>
      </c>
      <c r="I36" s="1">
        <f t="shared" si="54"/>
        <v>1.6900000000000002</v>
      </c>
      <c r="J36" s="1">
        <f t="shared" si="55"/>
        <v>2.1970000000000005</v>
      </c>
      <c r="K36" s="1">
        <f t="shared" si="56"/>
        <v>2.8561000000000005</v>
      </c>
      <c r="L36" s="1">
        <f t="shared" si="57"/>
        <v>3.712930000000001</v>
      </c>
      <c r="M36" s="1">
        <f t="shared" si="58"/>
        <v>4.8268090000000017</v>
      </c>
      <c r="N36" s="1">
        <f t="shared" si="59"/>
        <v>6.2748517000000028</v>
      </c>
      <c r="O36" s="1">
        <f t="shared" si="60"/>
        <v>8.1573072100000026</v>
      </c>
      <c r="P36" s="1">
        <f t="shared" si="61"/>
        <v>10.604499373000003</v>
      </c>
      <c r="Q36" s="1">
        <f t="shared" si="62"/>
        <v>13.785849184900005</v>
      </c>
      <c r="R36" s="1">
        <f t="shared" si="63"/>
        <v>17.921603940370009</v>
      </c>
      <c r="S36" s="1">
        <f t="shared" si="64"/>
        <v>23.298085122481012</v>
      </c>
      <c r="T36" s="1">
        <f t="shared" si="65"/>
        <v>30.287510659225319</v>
      </c>
      <c r="U36">
        <f t="shared" si="66"/>
        <v>39.373763856992916</v>
      </c>
      <c r="V36">
        <f t="shared" si="67"/>
        <v>51.185893014090794</v>
      </c>
      <c r="W36">
        <f t="shared" si="68"/>
        <v>66.54166091831803</v>
      </c>
      <c r="X36">
        <f t="shared" si="69"/>
        <v>86.504159193813436</v>
      </c>
      <c r="Y36">
        <f t="shared" si="70"/>
        <v>112.45540695195749</v>
      </c>
      <c r="Z36">
        <f t="shared" si="71"/>
        <v>146.19202903754476</v>
      </c>
      <c r="AA36">
        <f t="shared" si="72"/>
        <v>190.04963774880815</v>
      </c>
    </row>
    <row r="37" spans="2:27" x14ac:dyDescent="0.25">
      <c r="B37">
        <v>1.4</v>
      </c>
      <c r="C37">
        <f t="shared" si="32"/>
        <v>-2.5000000000000004</v>
      </c>
      <c r="D37" s="5">
        <f t="shared" si="33"/>
        <v>-2928.3889398849642</v>
      </c>
      <c r="E37" s="6">
        <f t="shared" si="34"/>
        <v>1171.3555759539854</v>
      </c>
      <c r="F37" s="1">
        <f t="shared" si="30"/>
        <v>2925.8889398849642</v>
      </c>
      <c r="G37" s="1">
        <f t="shared" si="52"/>
        <v>1</v>
      </c>
      <c r="H37" s="1">
        <f t="shared" si="53"/>
        <v>1.4</v>
      </c>
      <c r="I37" s="1">
        <f t="shared" si="54"/>
        <v>1.9599999999999997</v>
      </c>
      <c r="J37" s="1">
        <f t="shared" si="55"/>
        <v>2.7439999999999993</v>
      </c>
      <c r="K37" s="1">
        <f t="shared" si="56"/>
        <v>3.8415999999999988</v>
      </c>
      <c r="L37" s="1">
        <f t="shared" si="57"/>
        <v>5.3782399999999981</v>
      </c>
      <c r="M37" s="1">
        <f t="shared" si="58"/>
        <v>7.5295359999999967</v>
      </c>
      <c r="N37" s="1">
        <f t="shared" si="59"/>
        <v>10.541350399999994</v>
      </c>
      <c r="O37" s="1">
        <f t="shared" si="60"/>
        <v>14.757890559999991</v>
      </c>
      <c r="P37" s="1">
        <f t="shared" si="61"/>
        <v>20.661046783999986</v>
      </c>
      <c r="Q37" s="1">
        <f t="shared" si="62"/>
        <v>28.92546549759998</v>
      </c>
      <c r="R37" s="1">
        <f t="shared" si="63"/>
        <v>40.495651696639968</v>
      </c>
      <c r="S37" s="1">
        <f t="shared" si="64"/>
        <v>56.693912375295945</v>
      </c>
      <c r="T37" s="1">
        <f t="shared" si="65"/>
        <v>79.371477325414318</v>
      </c>
      <c r="U37">
        <f t="shared" si="66"/>
        <v>111.12006825558004</v>
      </c>
      <c r="V37">
        <f t="shared" si="67"/>
        <v>155.56809555781203</v>
      </c>
      <c r="W37">
        <f t="shared" si="68"/>
        <v>217.79533378093686</v>
      </c>
      <c r="X37">
        <f t="shared" si="69"/>
        <v>304.91346729331156</v>
      </c>
      <c r="Y37">
        <f t="shared" si="70"/>
        <v>426.87885421063618</v>
      </c>
      <c r="Z37">
        <f t="shared" si="71"/>
        <v>597.63039589489063</v>
      </c>
      <c r="AA37">
        <f t="shared" si="72"/>
        <v>836.68255425284678</v>
      </c>
    </row>
    <row r="38" spans="2:27" x14ac:dyDescent="0.25">
      <c r="B38">
        <v>1.5</v>
      </c>
      <c r="C38">
        <f t="shared" si="32"/>
        <v>-2</v>
      </c>
      <c r="D38" s="5">
        <f t="shared" si="33"/>
        <v>-9975.7701902389526</v>
      </c>
      <c r="E38" s="6">
        <f t="shared" si="34"/>
        <v>4987.8850951194763</v>
      </c>
      <c r="F38" s="1">
        <f t="shared" si="30"/>
        <v>9973.7701902389526</v>
      </c>
      <c r="G38" s="1">
        <f t="shared" si="52"/>
        <v>1</v>
      </c>
      <c r="H38" s="1">
        <f t="shared" si="53"/>
        <v>1.5</v>
      </c>
      <c r="I38" s="1">
        <f t="shared" si="54"/>
        <v>2.25</v>
      </c>
      <c r="J38" s="1">
        <f t="shared" si="55"/>
        <v>3.375</v>
      </c>
      <c r="K38" s="1">
        <f t="shared" si="56"/>
        <v>5.0625</v>
      </c>
      <c r="L38" s="1">
        <f t="shared" si="57"/>
        <v>7.59375</v>
      </c>
      <c r="M38" s="1">
        <f t="shared" si="58"/>
        <v>11.390625</v>
      </c>
      <c r="N38" s="1">
        <f t="shared" si="59"/>
        <v>17.0859375</v>
      </c>
      <c r="O38" s="1">
        <f t="shared" si="60"/>
        <v>25.62890625</v>
      </c>
      <c r="P38" s="1">
        <f t="shared" si="61"/>
        <v>38.443359375</v>
      </c>
      <c r="Q38" s="1">
        <f t="shared" si="62"/>
        <v>57.6650390625</v>
      </c>
      <c r="R38" s="1">
        <f t="shared" si="63"/>
        <v>86.49755859375</v>
      </c>
      <c r="S38" s="1">
        <f t="shared" si="64"/>
        <v>129.746337890625</v>
      </c>
      <c r="T38" s="1">
        <f t="shared" si="65"/>
        <v>194.6195068359375</v>
      </c>
      <c r="U38">
        <f t="shared" si="66"/>
        <v>291.92926025390625</v>
      </c>
      <c r="V38">
        <f t="shared" si="67"/>
        <v>437.89389038085938</v>
      </c>
      <c r="W38">
        <f t="shared" si="68"/>
        <v>656.84083557128906</v>
      </c>
      <c r="X38">
        <f t="shared" si="69"/>
        <v>985.26125335693359</v>
      </c>
      <c r="Y38">
        <f t="shared" si="70"/>
        <v>1477.8918800354004</v>
      </c>
      <c r="Z38">
        <f t="shared" si="71"/>
        <v>2216.8378200531006</v>
      </c>
      <c r="AA38">
        <f t="shared" si="72"/>
        <v>3325.2567300796509</v>
      </c>
    </row>
    <row r="39" spans="2:27" x14ac:dyDescent="0.25">
      <c r="B39">
        <v>1.6</v>
      </c>
      <c r="C39">
        <f t="shared" si="32"/>
        <v>-1.6666666666666665</v>
      </c>
      <c r="D39" s="5">
        <f t="shared" si="33"/>
        <v>-32238.021856390173</v>
      </c>
      <c r="E39" s="6">
        <f t="shared" si="34"/>
        <v>19342.813113834105</v>
      </c>
      <c r="F39" s="1">
        <f t="shared" si="30"/>
        <v>32236.355189723505</v>
      </c>
      <c r="G39" s="1">
        <f t="shared" si="52"/>
        <v>1</v>
      </c>
      <c r="H39" s="1">
        <f t="shared" si="53"/>
        <v>1.6</v>
      </c>
      <c r="I39" s="1">
        <f t="shared" si="54"/>
        <v>2.5600000000000005</v>
      </c>
      <c r="J39" s="1">
        <f t="shared" si="55"/>
        <v>4.096000000000001</v>
      </c>
      <c r="K39" s="1">
        <f t="shared" si="56"/>
        <v>6.553600000000003</v>
      </c>
      <c r="L39" s="1">
        <f t="shared" si="57"/>
        <v>10.485760000000006</v>
      </c>
      <c r="M39" s="1">
        <f t="shared" si="58"/>
        <v>16.77721600000001</v>
      </c>
      <c r="N39" s="1">
        <f t="shared" si="59"/>
        <v>26.84354560000002</v>
      </c>
      <c r="O39" s="1">
        <f t="shared" si="60"/>
        <v>42.949672960000036</v>
      </c>
      <c r="P39" s="1">
        <f t="shared" si="61"/>
        <v>68.719476736000061</v>
      </c>
      <c r="Q39" s="1">
        <f t="shared" si="62"/>
        <v>109.95116277760012</v>
      </c>
      <c r="R39" s="1">
        <f t="shared" si="63"/>
        <v>175.92186044416019</v>
      </c>
      <c r="S39" s="1">
        <f t="shared" si="64"/>
        <v>281.47497671065639</v>
      </c>
      <c r="T39" s="1">
        <f t="shared" si="65"/>
        <v>450.35996273705024</v>
      </c>
      <c r="U39">
        <f t="shared" si="66"/>
        <v>720.57594037928038</v>
      </c>
      <c r="V39">
        <f t="shared" si="67"/>
        <v>1152.9215046068489</v>
      </c>
      <c r="W39">
        <f t="shared" si="68"/>
        <v>1844.6744073709583</v>
      </c>
      <c r="X39">
        <f t="shared" si="69"/>
        <v>2951.4790517935335</v>
      </c>
      <c r="Y39">
        <f t="shared" si="70"/>
        <v>4722.3664828696537</v>
      </c>
      <c r="Z39">
        <f t="shared" si="71"/>
        <v>7555.7863725914467</v>
      </c>
      <c r="AA39">
        <f t="shared" si="72"/>
        <v>12089.258196146318</v>
      </c>
    </row>
    <row r="40" spans="2:27" x14ac:dyDescent="0.25">
      <c r="B40">
        <v>1.7</v>
      </c>
      <c r="C40">
        <f t="shared" si="32"/>
        <v>-1.4285714285714286</v>
      </c>
      <c r="D40" s="5">
        <f t="shared" si="33"/>
        <v>-98702.762732869538</v>
      </c>
      <c r="E40" s="6">
        <f t="shared" si="34"/>
        <v>69091.933913008674</v>
      </c>
      <c r="F40" s="1">
        <f t="shared" si="30"/>
        <v>98701.334161440973</v>
      </c>
      <c r="G40" s="1">
        <f t="shared" si="52"/>
        <v>1</v>
      </c>
      <c r="H40" s="1">
        <f t="shared" si="53"/>
        <v>1.7</v>
      </c>
      <c r="I40" s="1">
        <f t="shared" si="54"/>
        <v>2.8899999999999997</v>
      </c>
      <c r="J40" s="1">
        <f t="shared" si="55"/>
        <v>4.9129999999999994</v>
      </c>
      <c r="K40" s="1">
        <f t="shared" si="56"/>
        <v>8.3520999999999983</v>
      </c>
      <c r="L40" s="1">
        <f t="shared" si="57"/>
        <v>14.198569999999997</v>
      </c>
      <c r="M40" s="1">
        <f t="shared" si="58"/>
        <v>24.137568999999992</v>
      </c>
      <c r="N40" s="1">
        <f t="shared" si="59"/>
        <v>41.033867299999983</v>
      </c>
      <c r="O40" s="1">
        <f t="shared" si="60"/>
        <v>69.757574409999975</v>
      </c>
      <c r="P40" s="1">
        <f t="shared" si="61"/>
        <v>118.58787649699995</v>
      </c>
      <c r="Q40" s="1">
        <f t="shared" si="62"/>
        <v>201.59939004489991</v>
      </c>
      <c r="R40" s="1">
        <f t="shared" si="63"/>
        <v>342.71896307632983</v>
      </c>
      <c r="S40" s="1">
        <f t="shared" si="64"/>
        <v>582.62223722976069</v>
      </c>
      <c r="T40" s="1">
        <f t="shared" si="65"/>
        <v>990.45780329059312</v>
      </c>
      <c r="U40">
        <f t="shared" si="66"/>
        <v>1683.7782655940082</v>
      </c>
      <c r="V40">
        <f t="shared" si="67"/>
        <v>2862.4230515098134</v>
      </c>
      <c r="W40">
        <f t="shared" si="68"/>
        <v>4866.1191875666836</v>
      </c>
      <c r="X40">
        <f t="shared" si="69"/>
        <v>8272.4026188633616</v>
      </c>
      <c r="Y40">
        <f t="shared" si="70"/>
        <v>14063.084452067715</v>
      </c>
      <c r="Z40">
        <f t="shared" si="71"/>
        <v>23907.243568515114</v>
      </c>
      <c r="AA40">
        <f t="shared" si="72"/>
        <v>40642.314066475694</v>
      </c>
    </row>
    <row r="41" spans="2:27" x14ac:dyDescent="0.25">
      <c r="B41">
        <v>1.8</v>
      </c>
      <c r="C41">
        <f t="shared" si="32"/>
        <v>-1.25</v>
      </c>
      <c r="D41" s="5">
        <f t="shared" si="33"/>
        <v>-286835.31486891198</v>
      </c>
      <c r="E41" s="6">
        <f t="shared" si="34"/>
        <v>229468.25189512959</v>
      </c>
      <c r="F41" s="1">
        <f t="shared" si="30"/>
        <v>286834.06486891198</v>
      </c>
      <c r="G41" s="1">
        <f t="shared" si="52"/>
        <v>1</v>
      </c>
      <c r="H41" s="1">
        <f t="shared" si="53"/>
        <v>1.8</v>
      </c>
      <c r="I41" s="1">
        <f t="shared" si="54"/>
        <v>3.24</v>
      </c>
      <c r="J41" s="1">
        <f t="shared" si="55"/>
        <v>5.8320000000000007</v>
      </c>
      <c r="K41" s="1">
        <f t="shared" si="56"/>
        <v>10.497600000000002</v>
      </c>
      <c r="L41" s="1">
        <f t="shared" si="57"/>
        <v>18.895680000000006</v>
      </c>
      <c r="M41" s="1">
        <f t="shared" si="58"/>
        <v>34.01222400000001</v>
      </c>
      <c r="N41" s="1">
        <f t="shared" si="59"/>
        <v>61.222003200000017</v>
      </c>
      <c r="O41" s="1">
        <f t="shared" si="60"/>
        <v>110.19960576000004</v>
      </c>
      <c r="P41" s="1">
        <f t="shared" si="61"/>
        <v>198.35929036800007</v>
      </c>
      <c r="Q41" s="1">
        <f t="shared" si="62"/>
        <v>357.04672266240016</v>
      </c>
      <c r="R41" s="1">
        <f t="shared" si="63"/>
        <v>642.68410079232035</v>
      </c>
      <c r="S41" s="1">
        <f t="shared" si="64"/>
        <v>1156.8313814261767</v>
      </c>
      <c r="T41" s="1">
        <f t="shared" si="65"/>
        <v>2082.2964865671183</v>
      </c>
      <c r="U41">
        <f t="shared" si="66"/>
        <v>3748.1336758208126</v>
      </c>
      <c r="V41">
        <f t="shared" si="67"/>
        <v>6746.6406164774626</v>
      </c>
      <c r="W41">
        <f t="shared" si="68"/>
        <v>12143.953109659435</v>
      </c>
      <c r="X41">
        <f t="shared" si="69"/>
        <v>21859.115597386983</v>
      </c>
      <c r="Y41">
        <f t="shared" si="70"/>
        <v>39346.408075296567</v>
      </c>
      <c r="Z41">
        <f t="shared" si="71"/>
        <v>70823.534535533836</v>
      </c>
      <c r="AA41">
        <f t="shared" si="72"/>
        <v>127482.3621639609</v>
      </c>
    </row>
    <row r="42" spans="2:27" x14ac:dyDescent="0.25">
      <c r="B42">
        <v>1.9</v>
      </c>
      <c r="C42">
        <f t="shared" si="32"/>
        <v>-1.1111111111111112</v>
      </c>
      <c r="D42" s="5">
        <f t="shared" si="33"/>
        <v>-793566.10632597003</v>
      </c>
      <c r="E42" s="6">
        <f t="shared" si="34"/>
        <v>714209.49569337303</v>
      </c>
      <c r="F42" s="1">
        <f t="shared" si="30"/>
        <v>793564.99521485891</v>
      </c>
      <c r="G42" s="1">
        <f t="shared" si="52"/>
        <v>1</v>
      </c>
      <c r="H42" s="1">
        <f t="shared" si="53"/>
        <v>1.9</v>
      </c>
      <c r="I42" s="1">
        <f t="shared" si="54"/>
        <v>3.61</v>
      </c>
      <c r="J42" s="1">
        <f t="shared" si="55"/>
        <v>6.8589999999999991</v>
      </c>
      <c r="K42" s="1">
        <f t="shared" si="56"/>
        <v>13.0321</v>
      </c>
      <c r="L42" s="1">
        <f t="shared" si="57"/>
        <v>24.76099</v>
      </c>
      <c r="M42" s="1">
        <f t="shared" si="58"/>
        <v>47.045880999999994</v>
      </c>
      <c r="N42" s="1">
        <f t="shared" si="59"/>
        <v>89.387173899999993</v>
      </c>
      <c r="O42" s="1">
        <f t="shared" si="60"/>
        <v>169.83563040999999</v>
      </c>
      <c r="P42" s="1">
        <f t="shared" si="61"/>
        <v>322.68769777899996</v>
      </c>
      <c r="Q42" s="1">
        <f t="shared" si="62"/>
        <v>613.10662578009999</v>
      </c>
      <c r="R42" s="1">
        <f t="shared" si="63"/>
        <v>1164.9025889821899</v>
      </c>
      <c r="S42" s="1">
        <f t="shared" si="64"/>
        <v>2213.3149190661607</v>
      </c>
      <c r="T42" s="1">
        <f t="shared" si="65"/>
        <v>4205.2983462257052</v>
      </c>
      <c r="U42">
        <f t="shared" si="66"/>
        <v>7990.0668578288396</v>
      </c>
      <c r="V42">
        <f t="shared" si="67"/>
        <v>15181.127029874797</v>
      </c>
      <c r="W42">
        <f t="shared" si="68"/>
        <v>28844.141356762113</v>
      </c>
      <c r="X42">
        <f t="shared" si="69"/>
        <v>54803.868577848014</v>
      </c>
      <c r="Y42">
        <f t="shared" si="70"/>
        <v>104127.35029791122</v>
      </c>
      <c r="Z42">
        <f t="shared" si="71"/>
        <v>197841.96556603131</v>
      </c>
      <c r="AA42">
        <f t="shared" si="72"/>
        <v>375899.7345754595</v>
      </c>
    </row>
    <row r="43" spans="2:27" x14ac:dyDescent="0.25">
      <c r="B43">
        <v>2</v>
      </c>
      <c r="C43">
        <f t="shared" si="32"/>
        <v>-1</v>
      </c>
      <c r="D43" s="5">
        <f t="shared" si="33"/>
        <v>-2097152</v>
      </c>
      <c r="E43" s="6">
        <f t="shared" si="34"/>
        <v>2097152</v>
      </c>
      <c r="F43" s="1">
        <f t="shared" si="30"/>
        <v>2097151</v>
      </c>
      <c r="G43" s="1">
        <f t="shared" si="52"/>
        <v>1</v>
      </c>
      <c r="H43" s="1">
        <f t="shared" si="53"/>
        <v>2</v>
      </c>
      <c r="I43" s="1">
        <f t="shared" si="54"/>
        <v>4</v>
      </c>
      <c r="J43" s="1">
        <f t="shared" si="55"/>
        <v>8</v>
      </c>
      <c r="K43" s="1">
        <f t="shared" si="56"/>
        <v>16</v>
      </c>
      <c r="L43" s="1">
        <f t="shared" si="57"/>
        <v>32</v>
      </c>
      <c r="M43" s="1">
        <f t="shared" si="58"/>
        <v>64</v>
      </c>
      <c r="N43" s="1">
        <f t="shared" si="59"/>
        <v>128</v>
      </c>
      <c r="O43" s="1">
        <f t="shared" si="60"/>
        <v>256</v>
      </c>
      <c r="P43" s="1">
        <f t="shared" si="61"/>
        <v>512</v>
      </c>
      <c r="Q43" s="1">
        <f t="shared" si="62"/>
        <v>1024</v>
      </c>
      <c r="R43" s="1">
        <f t="shared" si="63"/>
        <v>2048</v>
      </c>
      <c r="S43" s="1">
        <f t="shared" si="64"/>
        <v>4096</v>
      </c>
      <c r="T43" s="1">
        <f t="shared" si="65"/>
        <v>8192</v>
      </c>
      <c r="U43">
        <f t="shared" si="66"/>
        <v>16384</v>
      </c>
      <c r="V43">
        <f t="shared" si="67"/>
        <v>32768</v>
      </c>
      <c r="W43">
        <f t="shared" si="68"/>
        <v>65536</v>
      </c>
      <c r="X43">
        <f t="shared" si="69"/>
        <v>131072</v>
      </c>
      <c r="Y43">
        <f t="shared" si="70"/>
        <v>262144</v>
      </c>
      <c r="Z43">
        <f t="shared" si="71"/>
        <v>524288</v>
      </c>
      <c r="AA43">
        <f t="shared" si="72"/>
        <v>1048576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7F65-E65D-4E94-8DA2-17EBA35A3ABD}">
  <dimension ref="A1"/>
  <sheetViews>
    <sheetView workbookViewId="0"/>
  </sheetViews>
  <sheetFormatPr defaultColWidth="8.81640625"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arctan(x)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2025-12-24T09:07:17Z</dcterms:modified>
</cp:coreProperties>
</file>