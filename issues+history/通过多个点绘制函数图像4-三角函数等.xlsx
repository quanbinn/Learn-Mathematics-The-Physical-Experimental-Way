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filterPrivacy="1" defaultThemeVersion="124226"/>
  <xr:revisionPtr revIDLastSave="0" documentId="13_ncr:1_{1AC5C310-2065-2146-8890-C7D5BD98ABA1}" xr6:coauthVersionLast="36" xr6:coauthVersionMax="47" xr10:uidLastSave="{00000000-0000-0000-0000-000000000000}"/>
  <bookViews>
    <workbookView xWindow="0" yWindow="0" windowWidth="20480" windowHeight="12800" xr2:uid="{00000000-000D-0000-FFFF-FFFF00000000}"/>
  </bookViews>
  <sheets>
    <sheet name="正弦余弦" sheetId="3" r:id="rId1"/>
    <sheet name="Sheet1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D2" i="3"/>
  <c r="E3" i="3"/>
  <c r="F3" i="3"/>
  <c r="G3" i="3"/>
  <c r="H3" i="3"/>
  <c r="I3" i="3"/>
  <c r="J3" i="3"/>
  <c r="K3" i="3"/>
  <c r="L3" i="3"/>
  <c r="M3" i="3"/>
  <c r="N3" i="3"/>
  <c r="O3" i="3"/>
  <c r="P3" i="3"/>
  <c r="D3" i="3"/>
  <c r="E4" i="3"/>
  <c r="F4" i="3"/>
  <c r="G4" i="3"/>
  <c r="H4" i="3"/>
  <c r="I4" i="3"/>
  <c r="J4" i="3"/>
  <c r="K4" i="3"/>
  <c r="L4" i="3"/>
  <c r="M4" i="3"/>
  <c r="N4" i="3"/>
  <c r="O4" i="3"/>
  <c r="P4" i="3"/>
  <c r="D4" i="3"/>
  <c r="K5" i="3"/>
  <c r="L5" i="3"/>
  <c r="D5" i="3"/>
  <c r="D7" i="3"/>
  <c r="D8" i="3"/>
  <c r="D9" i="3"/>
  <c r="G10" i="3"/>
  <c r="H10" i="3"/>
  <c r="D10" i="3"/>
  <c r="D11" i="3"/>
  <c r="H12" i="3"/>
  <c r="J12" i="3"/>
  <c r="D12" i="3"/>
  <c r="D13" i="3" s="1"/>
  <c r="D6" i="3" s="1"/>
  <c r="P14" i="3"/>
  <c r="P12" i="3" s="1"/>
  <c r="O14" i="3"/>
  <c r="O12" i="3" s="1"/>
  <c r="N14" i="3"/>
  <c r="N12" i="3" s="1"/>
  <c r="M14" i="3"/>
  <c r="M11" i="3" s="1"/>
  <c r="L14" i="3"/>
  <c r="L12" i="3" s="1"/>
  <c r="K14" i="3"/>
  <c r="K12" i="3" s="1"/>
  <c r="J14" i="3"/>
  <c r="J13" i="3" s="1"/>
  <c r="J6" i="3" s="1"/>
  <c r="I14" i="3"/>
  <c r="I13" i="3" s="1"/>
  <c r="I6" i="3" s="1"/>
  <c r="H14" i="3"/>
  <c r="H8" i="3" s="1"/>
  <c r="G14" i="3"/>
  <c r="G13" i="3" s="1"/>
  <c r="G6" i="3" s="1"/>
  <c r="E14" i="3"/>
  <c r="E13" i="3" s="1"/>
  <c r="E6" i="3" s="1"/>
  <c r="F14" i="3"/>
  <c r="F13" i="3" s="1"/>
  <c r="F6" i="3" s="1"/>
  <c r="J5" i="3" l="1"/>
  <c r="I5" i="3"/>
  <c r="P5" i="3"/>
  <c r="H5" i="3"/>
  <c r="N5" i="3"/>
  <c r="G5" i="3"/>
  <c r="F5" i="3"/>
  <c r="O5" i="3"/>
  <c r="M5" i="3"/>
  <c r="E5" i="3"/>
  <c r="F8" i="3"/>
  <c r="P9" i="3"/>
  <c r="O9" i="3"/>
  <c r="N9" i="3"/>
  <c r="E8" i="3"/>
  <c r="O11" i="3"/>
  <c r="P7" i="3"/>
  <c r="P11" i="3"/>
  <c r="O7" i="3"/>
  <c r="N7" i="3"/>
  <c r="M7" i="3"/>
  <c r="L7" i="3"/>
  <c r="J7" i="3"/>
  <c r="L9" i="3"/>
  <c r="H7" i="3"/>
  <c r="H9" i="3"/>
  <c r="E9" i="3"/>
  <c r="P8" i="3"/>
  <c r="H13" i="3"/>
  <c r="H6" i="3" s="1"/>
  <c r="O8" i="3"/>
  <c r="G12" i="3"/>
  <c r="F12" i="3"/>
  <c r="G7" i="3"/>
  <c r="I11" i="3"/>
  <c r="K13" i="3"/>
  <c r="K6" i="3" s="1"/>
  <c r="P10" i="3"/>
  <c r="N8" i="3"/>
  <c r="I12" i="3"/>
  <c r="E10" i="3"/>
  <c r="K7" i="3"/>
  <c r="O10" i="3"/>
  <c r="M8" i="3"/>
  <c r="M9" i="3"/>
  <c r="E7" i="3"/>
  <c r="P13" i="3"/>
  <c r="P6" i="3" s="1"/>
  <c r="O13" i="3"/>
  <c r="O6" i="3" s="1"/>
  <c r="F11" i="3"/>
  <c r="L13" i="3"/>
  <c r="L6" i="3" s="1"/>
  <c r="N10" i="3"/>
  <c r="L8" i="3"/>
  <c r="N11" i="3"/>
  <c r="H11" i="3"/>
  <c r="E11" i="3"/>
  <c r="M10" i="3"/>
  <c r="K8" i="3"/>
  <c r="E12" i="3"/>
  <c r="I7" i="3"/>
  <c r="I9" i="3"/>
  <c r="G11" i="3"/>
  <c r="N13" i="3"/>
  <c r="N6" i="3" s="1"/>
  <c r="M13" i="3"/>
  <c r="M6" i="3" s="1"/>
  <c r="L10" i="3"/>
  <c r="J8" i="3"/>
  <c r="J11" i="3"/>
  <c r="F9" i="3"/>
  <c r="M12" i="3"/>
  <c r="K10" i="3"/>
  <c r="I8" i="3"/>
  <c r="L11" i="3"/>
  <c r="K11" i="3"/>
  <c r="G9" i="3"/>
  <c r="J10" i="3"/>
  <c r="F10" i="3"/>
  <c r="K9" i="3"/>
  <c r="J9" i="3"/>
  <c r="F7" i="3"/>
  <c r="I10" i="3"/>
  <c r="G8" i="3"/>
</calcChain>
</file>

<file path=xl/sharedStrings.xml><?xml version="1.0" encoding="utf-8"?>
<sst xmlns="http://schemas.openxmlformats.org/spreadsheetml/2006/main" count="25" uniqueCount="14">
  <si>
    <t>x</t>
    <phoneticPr fontId="1" type="noConversion"/>
  </si>
  <si>
    <t>y</t>
    <phoneticPr fontId="1" type="noConversion"/>
  </si>
  <si>
    <t>y=SIN(x)</t>
    <phoneticPr fontId="1" type="noConversion"/>
  </si>
  <si>
    <t>y=SIN(5x)</t>
    <phoneticPr fontId="1" type="noConversion"/>
  </si>
  <si>
    <t>y=SIN(x)+SIN(5x)</t>
    <phoneticPr fontId="1" type="noConversion"/>
  </si>
  <si>
    <t>y=COS(x)+COS(5x)</t>
    <phoneticPr fontId="1" type="noConversion"/>
  </si>
  <si>
    <t>y=COS(5x)</t>
    <phoneticPr fontId="1" type="noConversion"/>
  </si>
  <si>
    <t>y=COS(x)</t>
    <phoneticPr fontId="1" type="noConversion"/>
  </si>
  <si>
    <t>y=SIN(x-PI()/4)</t>
    <phoneticPr fontId="1" type="noConversion"/>
  </si>
  <si>
    <t>y=SIN(x-PI()/2)</t>
    <phoneticPr fontId="1" type="noConversion"/>
  </si>
  <si>
    <t>y=SIN((1/3)*x-PI()/2)</t>
    <phoneticPr fontId="1" type="noConversion"/>
  </si>
  <si>
    <t>y=SIN((1/3)*x)</t>
    <phoneticPr fontId="1" type="noConversion"/>
  </si>
  <si>
    <t>y=COS((1/3)*x)</t>
    <phoneticPr fontId="1" type="noConversion"/>
  </si>
  <si>
    <t>y=COS((1/3)*x-PI()/2)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</si>
</sst>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77" fontId="0" fillId="0" borderId="2" xfId="0" applyNumberFormat="1" applyBorder="1"/>
    <xf numFmtId="177" fontId="0" fillId="0" borderId="0" xfId="0" applyNumberFormat="1"/>
    <xf numFmtId="177" fontId="0" fillId="0" borderId="6" xfId="0" applyNumberFormat="1" applyBorder="1"/>
    <xf numFmtId="177" fontId="2" fillId="0" borderId="4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4"/>
  <sheetViews>
    <sheetView tabSelected="1" zoomScale="130" zoomScaleNormal="130" workbookViewId="0">
      <selection activeCell="K16" sqref="K16"/>
    </sheetView>
  </sheetViews>
  <sheetFormatPr baseColWidth="10" defaultColWidth="8.83203125" defaultRowHeight="14"/>
  <cols>
    <col min="1" max="1" width="2.33203125" customWidth="1"/>
    <col min="2" max="2" width="19.1640625" customWidth="1"/>
    <col min="3" max="3" width="2.83203125" customWidth="1"/>
    <col min="4" max="16" width="6.33203125" style="5" customWidth="1"/>
  </cols>
  <sheetData>
    <row r="2" spans="2:16">
      <c r="B2" t="s">
        <v>13</v>
      </c>
      <c r="C2" s="2" t="s">
        <v>1</v>
      </c>
      <c r="D2" s="4">
        <f>COS((1/3)*D14-PI()/2)</f>
        <v>6.1257422745431001E-17</v>
      </c>
      <c r="E2" s="4">
        <f t="shared" ref="E2:P2" si="0">COS((1/3)*E14-PI()/2)</f>
        <v>0.17364817766693041</v>
      </c>
      <c r="F2" s="4">
        <f t="shared" si="0"/>
        <v>0.34202014332566882</v>
      </c>
      <c r="G2" s="4">
        <f t="shared" si="0"/>
        <v>0.49999999999999989</v>
      </c>
      <c r="H2" s="4">
        <f t="shared" si="0"/>
        <v>0.64278760968653925</v>
      </c>
      <c r="I2" s="4">
        <f t="shared" si="0"/>
        <v>0.76604444311897801</v>
      </c>
      <c r="J2" s="4">
        <f t="shared" si="0"/>
        <v>0.8660254037844386</v>
      </c>
      <c r="K2" s="4">
        <f t="shared" si="0"/>
        <v>0.93969262078590832</v>
      </c>
      <c r="L2" s="4">
        <f t="shared" si="0"/>
        <v>0.98480775301220802</v>
      </c>
      <c r="M2" s="4">
        <f t="shared" si="0"/>
        <v>1</v>
      </c>
      <c r="N2" s="4">
        <f t="shared" si="0"/>
        <v>0.98480775301220802</v>
      </c>
      <c r="O2" s="4">
        <f t="shared" si="0"/>
        <v>0.93969262078590843</v>
      </c>
      <c r="P2" s="4">
        <f t="shared" si="0"/>
        <v>0.86602540378443871</v>
      </c>
    </row>
    <row r="3" spans="2:16">
      <c r="B3" t="s">
        <v>12</v>
      </c>
      <c r="C3" s="2" t="s">
        <v>1</v>
      </c>
      <c r="D3" s="5">
        <f>COS((1/3)*D14)</f>
        <v>1</v>
      </c>
      <c r="E3" s="5">
        <f t="shared" ref="E3:P3" si="1">COS((1/3)*E14)</f>
        <v>0.98480775301220802</v>
      </c>
      <c r="F3" s="5">
        <f t="shared" si="1"/>
        <v>0.93969262078590843</v>
      </c>
      <c r="G3" s="5">
        <f t="shared" si="1"/>
        <v>0.86602540378443871</v>
      </c>
      <c r="H3" s="5">
        <f t="shared" si="1"/>
        <v>0.76604444311897812</v>
      </c>
      <c r="I3" s="5">
        <f t="shared" si="1"/>
        <v>0.64278760968653936</v>
      </c>
      <c r="J3" s="5">
        <f t="shared" si="1"/>
        <v>0.50000000000000011</v>
      </c>
      <c r="K3" s="5">
        <f t="shared" si="1"/>
        <v>0.34202014332566882</v>
      </c>
      <c r="L3" s="5">
        <f t="shared" si="1"/>
        <v>0.17364817766693064</v>
      </c>
      <c r="M3" s="5">
        <f t="shared" si="1"/>
        <v>6.1257422745431001E-17</v>
      </c>
      <c r="N3" s="5">
        <f t="shared" si="1"/>
        <v>-0.1736481776669303</v>
      </c>
      <c r="O3" s="5">
        <f t="shared" si="1"/>
        <v>-0.34202014332566849</v>
      </c>
      <c r="P3" s="5">
        <f t="shared" si="1"/>
        <v>-0.49999999999999978</v>
      </c>
    </row>
    <row r="4" spans="2:16">
      <c r="B4" t="s">
        <v>10</v>
      </c>
      <c r="C4" s="2" t="s">
        <v>1</v>
      </c>
      <c r="D4" s="5">
        <f>SIN((1/3)*D14-PI()/2)</f>
        <v>-1</v>
      </c>
      <c r="E4" s="5">
        <f t="shared" ref="E4:P4" si="2">SIN((1/3)*E14-PI()/2)</f>
        <v>-0.98480775301220802</v>
      </c>
      <c r="F4" s="5">
        <f t="shared" si="2"/>
        <v>-0.93969262078590832</v>
      </c>
      <c r="G4" s="5">
        <f t="shared" si="2"/>
        <v>-0.86602540378443871</v>
      </c>
      <c r="H4" s="5">
        <f t="shared" si="2"/>
        <v>-0.76604444311897812</v>
      </c>
      <c r="I4" s="5">
        <f t="shared" si="2"/>
        <v>-0.64278760968653925</v>
      </c>
      <c r="J4" s="5">
        <f t="shared" si="2"/>
        <v>-0.5</v>
      </c>
      <c r="K4" s="5">
        <f t="shared" si="2"/>
        <v>-0.34202014332566877</v>
      </c>
      <c r="L4" s="5">
        <f t="shared" si="2"/>
        <v>-0.17364817766693058</v>
      </c>
      <c r="M4" s="5">
        <f t="shared" si="2"/>
        <v>0</v>
      </c>
      <c r="N4" s="5">
        <f t="shared" si="2"/>
        <v>0.17364817766693036</v>
      </c>
      <c r="O4" s="5">
        <f t="shared" si="2"/>
        <v>0.34202014332566855</v>
      </c>
      <c r="P4" s="5">
        <f t="shared" si="2"/>
        <v>0.49999999999999983</v>
      </c>
    </row>
    <row r="5" spans="2:16">
      <c r="B5" t="s">
        <v>11</v>
      </c>
      <c r="C5" s="2" t="s">
        <v>1</v>
      </c>
      <c r="D5" s="5">
        <f>SIN((1/3)*D14)</f>
        <v>0</v>
      </c>
      <c r="E5" s="5">
        <f t="shared" ref="E5:P5" si="3">SIN((1/3)*E14)</f>
        <v>0.1736481776669303</v>
      </c>
      <c r="F5" s="5">
        <f t="shared" si="3"/>
        <v>0.34202014332566866</v>
      </c>
      <c r="G5" s="5">
        <f t="shared" si="3"/>
        <v>0.49999999999999994</v>
      </c>
      <c r="H5" s="5">
        <f t="shared" si="3"/>
        <v>0.64278760968653925</v>
      </c>
      <c r="I5" s="5">
        <f t="shared" si="3"/>
        <v>0.76604444311897801</v>
      </c>
      <c r="J5" s="5">
        <f t="shared" si="3"/>
        <v>0.8660254037844386</v>
      </c>
      <c r="K5" s="5">
        <f t="shared" si="3"/>
        <v>0.93969262078590832</v>
      </c>
      <c r="L5" s="5">
        <f t="shared" si="3"/>
        <v>0.98480775301220802</v>
      </c>
      <c r="M5" s="5">
        <f t="shared" si="3"/>
        <v>1</v>
      </c>
      <c r="N5" s="5">
        <f t="shared" si="3"/>
        <v>0.98480775301220802</v>
      </c>
      <c r="O5" s="5">
        <f t="shared" si="3"/>
        <v>0.93969262078590843</v>
      </c>
      <c r="P5" s="5">
        <f t="shared" si="3"/>
        <v>0.86602540378443871</v>
      </c>
    </row>
    <row r="6" spans="2:16">
      <c r="B6" t="s">
        <v>9</v>
      </c>
      <c r="C6" s="2" t="s">
        <v>1</v>
      </c>
      <c r="D6" s="4">
        <f>SIN(D13-PI()/2)</f>
        <v>-1</v>
      </c>
      <c r="E6" s="4">
        <f t="shared" ref="E6:P6" si="4">SIN(E13-PI()/2)</f>
        <v>-0.87758256189037265</v>
      </c>
      <c r="F6" s="4">
        <f t="shared" si="4"/>
        <v>-0.64785934485245689</v>
      </c>
      <c r="G6" s="4">
        <f t="shared" si="4"/>
        <v>-0.54030230586813965</v>
      </c>
      <c r="H6" s="4">
        <f t="shared" si="4"/>
        <v>-0.64785934485245678</v>
      </c>
      <c r="I6" s="4">
        <f t="shared" si="4"/>
        <v>-0.87758256189037265</v>
      </c>
      <c r="J6" s="4">
        <f t="shared" si="4"/>
        <v>-1</v>
      </c>
      <c r="K6" s="4">
        <f t="shared" si="4"/>
        <v>-0.87758256189037298</v>
      </c>
      <c r="L6" s="4">
        <f t="shared" si="4"/>
        <v>-0.64785934485245722</v>
      </c>
      <c r="M6" s="4">
        <f t="shared" si="4"/>
        <v>-0.54030230586813977</v>
      </c>
      <c r="N6" s="4">
        <f t="shared" si="4"/>
        <v>-0.64785934485245722</v>
      </c>
      <c r="O6" s="4">
        <f t="shared" si="4"/>
        <v>-0.87758256189037254</v>
      </c>
      <c r="P6" s="4">
        <f t="shared" si="4"/>
        <v>-1</v>
      </c>
    </row>
    <row r="7" spans="2:16">
      <c r="B7" t="s">
        <v>8</v>
      </c>
      <c r="C7" s="2" t="s">
        <v>1</v>
      </c>
      <c r="D7" s="4">
        <f>SIN(D14-PI()/4)</f>
        <v>-0.70710678118654746</v>
      </c>
      <c r="E7" s="4">
        <f t="shared" ref="E7:P7" si="5">SIN(E14-PI()/4)</f>
        <v>-0.25881904510252079</v>
      </c>
      <c r="F7" s="4">
        <f t="shared" si="5"/>
        <v>0.25881904510252068</v>
      </c>
      <c r="G7" s="4">
        <f t="shared" si="5"/>
        <v>0.70710678118654746</v>
      </c>
      <c r="H7" s="4">
        <f t="shared" si="5"/>
        <v>0.9659258262890682</v>
      </c>
      <c r="I7" s="4">
        <f t="shared" si="5"/>
        <v>0.96592582628906831</v>
      </c>
      <c r="J7" s="4">
        <f t="shared" si="5"/>
        <v>0.70710678118654757</v>
      </c>
      <c r="K7" s="4">
        <f t="shared" si="5"/>
        <v>0.25881904510252102</v>
      </c>
      <c r="L7" s="4">
        <f t="shared" si="5"/>
        <v>-0.25881904510252035</v>
      </c>
      <c r="M7" s="4">
        <f t="shared" si="5"/>
        <v>-0.70710678118654746</v>
      </c>
      <c r="N7" s="4">
        <f t="shared" si="5"/>
        <v>-0.96592582628906831</v>
      </c>
      <c r="O7" s="4">
        <f t="shared" si="5"/>
        <v>-0.96592582628906842</v>
      </c>
      <c r="P7" s="4">
        <f t="shared" si="5"/>
        <v>-0.70710678118654768</v>
      </c>
    </row>
    <row r="8" spans="2:16">
      <c r="B8" t="s">
        <v>5</v>
      </c>
      <c r="C8" s="2" t="s">
        <v>1</v>
      </c>
      <c r="D8" s="4">
        <f>COS(D14)+COS(5*D14)</f>
        <v>2</v>
      </c>
      <c r="E8" s="4">
        <f t="shared" ref="E8:P8" si="6">COS(E14)+COS(5*E14)</f>
        <v>0</v>
      </c>
      <c r="F8" s="4">
        <f t="shared" si="6"/>
        <v>0.99999999999999944</v>
      </c>
      <c r="G8" s="4">
        <f t="shared" si="6"/>
        <v>3.67544536472586E-16</v>
      </c>
      <c r="H8" s="4">
        <f t="shared" si="6"/>
        <v>-1.0000000000000011</v>
      </c>
      <c r="I8" s="4">
        <f t="shared" si="6"/>
        <v>0</v>
      </c>
      <c r="J8" s="4">
        <f t="shared" si="6"/>
        <v>-2</v>
      </c>
      <c r="K8" s="4">
        <f t="shared" si="6"/>
        <v>0</v>
      </c>
      <c r="L8" s="4">
        <f t="shared" si="6"/>
        <v>-0.99999999999999767</v>
      </c>
      <c r="M8" s="4">
        <f t="shared" si="6"/>
        <v>-2.8789904488180085E-15</v>
      </c>
      <c r="N8" s="4">
        <f t="shared" si="6"/>
        <v>0.99999999999999889</v>
      </c>
      <c r="O8" s="4">
        <f t="shared" si="6"/>
        <v>-1.1102230246251565E-15</v>
      </c>
      <c r="P8" s="4">
        <f t="shared" si="6"/>
        <v>2</v>
      </c>
    </row>
    <row r="9" spans="2:16">
      <c r="B9" t="s">
        <v>6</v>
      </c>
      <c r="C9" s="2" t="s">
        <v>1</v>
      </c>
      <c r="D9" s="4">
        <f>COS(5*D14)</f>
        <v>1</v>
      </c>
      <c r="E9" s="4">
        <f t="shared" ref="E9:P9" si="7">COS(5*E14)</f>
        <v>-0.86602540378443849</v>
      </c>
      <c r="F9" s="4">
        <f t="shared" si="7"/>
        <v>0.49999999999999933</v>
      </c>
      <c r="G9" s="4">
        <f t="shared" si="7"/>
        <v>3.06287113727155E-16</v>
      </c>
      <c r="H9" s="4">
        <f t="shared" si="7"/>
        <v>-0.50000000000000133</v>
      </c>
      <c r="I9" s="4">
        <f t="shared" si="7"/>
        <v>0.86602540378443826</v>
      </c>
      <c r="J9" s="4">
        <f t="shared" si="7"/>
        <v>-1</v>
      </c>
      <c r="K9" s="4">
        <f t="shared" si="7"/>
        <v>0.8660254037844386</v>
      </c>
      <c r="L9" s="4">
        <f t="shared" si="7"/>
        <v>-0.49999999999999722</v>
      </c>
      <c r="M9" s="4">
        <f t="shared" si="7"/>
        <v>-2.6952181805817155E-15</v>
      </c>
      <c r="N9" s="4">
        <f t="shared" si="7"/>
        <v>0.49999999999999883</v>
      </c>
      <c r="O9" s="4">
        <f t="shared" si="7"/>
        <v>-0.86602540378443948</v>
      </c>
      <c r="P9" s="4">
        <f t="shared" si="7"/>
        <v>1</v>
      </c>
    </row>
    <row r="10" spans="2:16">
      <c r="B10" t="s">
        <v>7</v>
      </c>
      <c r="C10" s="2" t="s">
        <v>1</v>
      </c>
      <c r="D10" s="4">
        <f>COS(D14)</f>
        <v>1</v>
      </c>
      <c r="E10" s="4">
        <f t="shared" ref="E10:P10" si="8">COS(E14)</f>
        <v>0.86602540378443871</v>
      </c>
      <c r="F10" s="4">
        <f t="shared" si="8"/>
        <v>0.50000000000000011</v>
      </c>
      <c r="G10" s="4">
        <f t="shared" si="8"/>
        <v>6.1257422745431001E-17</v>
      </c>
      <c r="H10" s="4">
        <f t="shared" si="8"/>
        <v>-0.49999999999999978</v>
      </c>
      <c r="I10" s="4">
        <f t="shared" si="8"/>
        <v>-0.86602540378443871</v>
      </c>
      <c r="J10" s="4">
        <f t="shared" si="8"/>
        <v>-1</v>
      </c>
      <c r="K10" s="4">
        <f t="shared" si="8"/>
        <v>-0.86602540378443882</v>
      </c>
      <c r="L10" s="4">
        <f t="shared" si="8"/>
        <v>-0.50000000000000044</v>
      </c>
      <c r="M10" s="4">
        <f t="shared" si="8"/>
        <v>-1.83772268236293E-16</v>
      </c>
      <c r="N10" s="4">
        <f t="shared" si="8"/>
        <v>0.50000000000000011</v>
      </c>
      <c r="O10" s="4">
        <f t="shared" si="8"/>
        <v>0.86602540378443837</v>
      </c>
      <c r="P10" s="4">
        <f t="shared" si="8"/>
        <v>1</v>
      </c>
    </row>
    <row r="11" spans="2:16">
      <c r="B11" t="s">
        <v>4</v>
      </c>
      <c r="C11" s="2" t="s">
        <v>1</v>
      </c>
      <c r="D11" s="4">
        <f>SIN(D14)+SIN(5*D14)</f>
        <v>0</v>
      </c>
      <c r="E11" s="4">
        <f t="shared" ref="E11:P11" si="9">SIN(E14)+SIN(5*E14)</f>
        <v>1.0000000000000002</v>
      </c>
      <c r="F11" s="4">
        <f t="shared" si="9"/>
        <v>0</v>
      </c>
      <c r="G11" s="4">
        <f t="shared" si="9"/>
        <v>2</v>
      </c>
      <c r="H11" s="4">
        <f t="shared" si="9"/>
        <v>8.8817841970012523E-16</v>
      </c>
      <c r="I11" s="4">
        <f t="shared" si="9"/>
        <v>1.0000000000000004</v>
      </c>
      <c r="J11" s="4">
        <f t="shared" si="9"/>
        <v>7.3508907294517201E-16</v>
      </c>
      <c r="K11" s="4">
        <f t="shared" si="9"/>
        <v>-0.99999999999999978</v>
      </c>
      <c r="L11" s="4">
        <f t="shared" si="9"/>
        <v>1.8873791418627661E-15</v>
      </c>
      <c r="M11" s="4">
        <f t="shared" si="9"/>
        <v>-2</v>
      </c>
      <c r="N11" s="4">
        <f t="shared" si="9"/>
        <v>0</v>
      </c>
      <c r="O11" s="4">
        <f t="shared" si="9"/>
        <v>-0.99999999999999889</v>
      </c>
      <c r="P11" s="4">
        <f t="shared" si="9"/>
        <v>-1.470178145890344E-15</v>
      </c>
    </row>
    <row r="12" spans="2:16">
      <c r="B12" t="s">
        <v>3</v>
      </c>
      <c r="C12" s="2" t="s">
        <v>1</v>
      </c>
      <c r="D12" s="4">
        <f>SIN(5*D14)</f>
        <v>0</v>
      </c>
      <c r="E12" s="4">
        <f t="shared" ref="E12:P12" si="10">SIN(5*E14)</f>
        <v>0.50000000000000033</v>
      </c>
      <c r="F12" s="4">
        <f t="shared" si="10"/>
        <v>-0.86602540378443904</v>
      </c>
      <c r="G12" s="4">
        <f t="shared" si="10"/>
        <v>1</v>
      </c>
      <c r="H12" s="4">
        <f t="shared" si="10"/>
        <v>-0.86602540378443782</v>
      </c>
      <c r="I12" s="4">
        <f t="shared" si="10"/>
        <v>0.50000000000000056</v>
      </c>
      <c r="J12" s="4">
        <f t="shared" si="10"/>
        <v>6.1257422745431001E-16</v>
      </c>
      <c r="K12" s="4">
        <f t="shared" si="10"/>
        <v>-0.50000000000000011</v>
      </c>
      <c r="L12" s="4">
        <f t="shared" si="10"/>
        <v>0.86602540378444026</v>
      </c>
      <c r="M12" s="4">
        <f t="shared" si="10"/>
        <v>-1</v>
      </c>
      <c r="N12" s="4">
        <f t="shared" si="10"/>
        <v>0.86602540378443937</v>
      </c>
      <c r="O12" s="4">
        <f t="shared" si="10"/>
        <v>-0.4999999999999985</v>
      </c>
      <c r="P12" s="4">
        <f t="shared" si="10"/>
        <v>-1.22514845490862E-15</v>
      </c>
    </row>
    <row r="13" spans="2:16">
      <c r="B13" t="s">
        <v>2</v>
      </c>
      <c r="C13" s="3" t="s">
        <v>1</v>
      </c>
      <c r="D13" s="6">
        <f>D12</f>
        <v>0</v>
      </c>
      <c r="E13" s="6">
        <f t="shared" ref="E13:J13" si="11">SIN(E14)</f>
        <v>0.49999999999999994</v>
      </c>
      <c r="F13" s="6">
        <f t="shared" si="11"/>
        <v>0.8660254037844386</v>
      </c>
      <c r="G13" s="6">
        <f t="shared" si="11"/>
        <v>1</v>
      </c>
      <c r="H13" s="6">
        <f t="shared" si="11"/>
        <v>0.86602540378443871</v>
      </c>
      <c r="I13" s="6">
        <f t="shared" si="11"/>
        <v>0.49999999999999994</v>
      </c>
      <c r="J13" s="6">
        <f t="shared" si="11"/>
        <v>1.22514845490862E-16</v>
      </c>
      <c r="K13" s="6">
        <f>SIN(K14)</f>
        <v>-0.49999999999999972</v>
      </c>
      <c r="L13" s="6">
        <f t="shared" ref="L13" si="12">SIN(L14)</f>
        <v>-0.86602540378443837</v>
      </c>
      <c r="M13" s="6">
        <f t="shared" ref="M13" si="13">SIN(M14)</f>
        <v>-1</v>
      </c>
      <c r="N13" s="6">
        <f t="shared" ref="N13" si="14">SIN(N14)</f>
        <v>-0.8660254037844386</v>
      </c>
      <c r="O13" s="6">
        <f t="shared" ref="O13" si="15">SIN(O14)</f>
        <v>-0.50000000000000044</v>
      </c>
      <c r="P13" s="6">
        <f t="shared" ref="P13" si="16">SIN(P14)</f>
        <v>-2.45029690981724E-16</v>
      </c>
    </row>
    <row r="14" spans="2:16">
      <c r="C14" s="1" t="s">
        <v>0</v>
      </c>
      <c r="D14" s="7">
        <v>0</v>
      </c>
      <c r="E14" s="7">
        <f>1*PI()/6</f>
        <v>0.52359877559829882</v>
      </c>
      <c r="F14" s="7">
        <f>2*PI()/6</f>
        <v>1.0471975511965976</v>
      </c>
      <c r="G14" s="7">
        <f>3*PI()/6</f>
        <v>1.5707963267948966</v>
      </c>
      <c r="H14" s="7">
        <f>4*PI()/6</f>
        <v>2.0943951023931953</v>
      </c>
      <c r="I14" s="7">
        <f>5*PI()/6</f>
        <v>2.6179938779914944</v>
      </c>
      <c r="J14" s="7">
        <f>6*PI()/6</f>
        <v>3.1415926535897931</v>
      </c>
      <c r="K14" s="7">
        <f>7*PI()/6</f>
        <v>3.6651914291880918</v>
      </c>
      <c r="L14" s="7">
        <f>8*PI()/6</f>
        <v>4.1887902047863905</v>
      </c>
      <c r="M14" s="7">
        <f>9*PI()/6</f>
        <v>4.7123889803846897</v>
      </c>
      <c r="N14" s="7">
        <f>10*PI()/6</f>
        <v>5.2359877559829888</v>
      </c>
      <c r="O14" s="7">
        <f>11*PI()/6</f>
        <v>5.7595865315812871</v>
      </c>
      <c r="P14" s="7">
        <f>12*PI()/6</f>
        <v>6.2831853071795862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F65-E65D-4E94-8DA2-17EBA35A3ABD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正弦余弦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2025-12-13T03:35:53Z</dcterms:modified>
</cp:coreProperties>
</file>